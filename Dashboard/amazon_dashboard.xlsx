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5.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6.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dgood\OneDrive\Documents\GOODWILL\BORED\"/>
    </mc:Choice>
  </mc:AlternateContent>
  <xr:revisionPtr revIDLastSave="0" documentId="13_ncr:1_{00513557-9937-4AE0-A3F9-2790145C0684}" xr6:coauthVersionLast="47" xr6:coauthVersionMax="47" xr10:uidLastSave="{00000000-0000-0000-0000-000000000000}"/>
  <bookViews>
    <workbookView xWindow="-120" yWindow="-120" windowWidth="20730" windowHeight="11040" xr2:uid="{1FC22218-ED13-44FA-9DB5-2C1EB1ACD5E8}"/>
  </bookViews>
  <sheets>
    <sheet name="Dashboard" sheetId="8" r:id="rId1"/>
    <sheet name="KPIs" sheetId="7" state="hidden" r:id="rId2"/>
    <sheet name="Monthly revenue" sheetId="3" state="hidden" r:id="rId3"/>
    <sheet name="Rev_category" sheetId="5" state="hidden" r:id="rId4"/>
    <sheet name="Rev_region" sheetId="6" state="hidden" r:id="rId5"/>
    <sheet name="Payment Method Breakdown" sheetId="4" state="hidden" r:id="rId6"/>
  </sheets>
  <definedNames>
    <definedName name="_xlcn.WorksheetConnection_amazon_dashboard.xlsxMonthly_revenue1" hidden="1">Monthly_revenue[]</definedName>
    <definedName name="_xlcn.WorksheetConnection_amazon_dashboard.xlsxPayment_Method_Breakdown1" hidden="1">Payment_Method_Breakdown[]</definedName>
    <definedName name="_xlcn.WorksheetConnection_amazon_dashboard.xlsxRev_category1" hidden="1">Rev_category[]</definedName>
    <definedName name="_xlcn.WorksheetConnection_amazon_dashboard.xlsxRev_region1" hidden="1">Rev_region[]</definedName>
    <definedName name="ExternalData_1" localSheetId="2" hidden="1">'Monthly revenue'!$A$1:$B$13</definedName>
    <definedName name="ExternalData_1" localSheetId="5" hidden="1">'Payment Method Breakdown'!$A$1:$C$6</definedName>
    <definedName name="ExternalData_2" localSheetId="3" hidden="1">'Rev_category'!$A$1:$B$7</definedName>
    <definedName name="ExternalData_2" localSheetId="4" hidden="1">'Rev_region'!$A$1:$B$5</definedName>
    <definedName name="ExternalData_3" localSheetId="1" hidden="1">KPIs!$A$1:$D$2</definedName>
    <definedName name="rev">KPIs[total_revenue]</definedName>
    <definedName name="revenue">KPIs[total_revenue]</definedName>
    <definedName name="Slicer_month">#N/A</definedName>
    <definedName name="Slicer_product_category">#N/A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nthly_revenue" name="Monthly_revenue" connection="WorksheetConnection_amazon_dashboard.xlsx!Monthly_revenue"/>
          <x15:modelTable id="Rev_category" name="Rev_category" connection="WorksheetConnection_amazon_dashboard.xlsx!Rev_category"/>
          <x15:modelTable id="Rev_region" name="Rev_region" connection="WorksheetConnection_amazon_dashboard.xlsx!Rev_region"/>
          <x15:modelTable id="Payment_Method_Breakdown" name="Payment_Method_Breakdown" connection="WorksheetConnection_amazon_dashboard.xlsx!Payment_Method_Breakdow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9DEC6E-BDCE-4B4C-B3FD-137899D4E361}" keepAlive="1" name="Query - KPIs" description="Connection to the 'KPIs' query in the workbook." type="5" refreshedVersion="8" background="1" saveData="1">
    <dbPr connection="Provider=Microsoft.Mashup.OleDb.1;Data Source=$Workbook$;Location=KPIs;Extended Properties=&quot;&quot;" command="SELECT * FROM [KPIs]"/>
  </connection>
  <connection id="2" xr16:uid="{8BBA3113-3D15-4338-83C4-0A48F88DAD77}" keepAlive="1" name="Query - Monthly revenue" description="Connection to the 'Monthly revenue' query in the workbook." type="5" refreshedVersion="8" background="1" saveData="1">
    <dbPr connection="Provider=Microsoft.Mashup.OleDb.1;Data Source=$Workbook$;Location=&quot;Monthly revenue&quot;;Extended Properties=&quot;&quot;" command="SELECT * FROM [Monthly revenue]"/>
  </connection>
  <connection id="3" xr16:uid="{359BF94F-1809-46F9-B10B-1A66A5685CF5}" keepAlive="1" name="Query - Payment Method Breakdown" description="Connection to the 'Payment Method Breakdown' query in the workbook." type="5" refreshedVersion="8" background="1" saveData="1">
    <dbPr connection="Provider=Microsoft.Mashup.OleDb.1;Data Source=$Workbook$;Location=&quot;Payment Method Breakdown&quot;;Extended Properties=&quot;&quot;" command="SELECT * FROM [Payment Method Breakdown]"/>
  </connection>
  <connection id="4" xr16:uid="{A9F9F6A2-0D88-432C-AC9E-D681E390C366}" keepAlive="1" name="Query - Rev_category" description="Connection to the 'Rev_category' query in the workbook." type="5" refreshedVersion="8" background="1" saveData="1">
    <dbPr connection="Provider=Microsoft.Mashup.OleDb.1;Data Source=$Workbook$;Location=Rev_category;Extended Properties=&quot;&quot;" command="SELECT * FROM [Rev_category]"/>
  </connection>
  <connection id="5" xr16:uid="{5869670B-CE05-48F1-A2CE-F1304C5C26E2}" keepAlive="1" name="Query - Rev_region" description="Connection to the 'Rev_region' query in the workbook." type="5" refreshedVersion="8" background="1" saveData="1">
    <dbPr connection="Provider=Microsoft.Mashup.OleDb.1;Data Source=$Workbook$;Location=Rev_region;Extended Properties=&quot;&quot;" command="SELECT * FROM [Rev_region]"/>
  </connection>
  <connection id="6" xr16:uid="{34443B60-16A1-4CB3-B0BC-649F42C535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F70DE85-1EE6-4313-B595-FC847EA7CA9A}" name="WorksheetConnection_amazon_dashboard.xlsx!Monthly_revenue" type="102" refreshedVersion="8" minRefreshableVersion="5">
    <extLst>
      <ext xmlns:x15="http://schemas.microsoft.com/office/spreadsheetml/2010/11/main" uri="{DE250136-89BD-433C-8126-D09CA5730AF9}">
        <x15:connection id="Monthly_revenue" autoDelete="1">
          <x15:rangePr sourceName="_xlcn.WorksheetConnection_amazon_dashboard.xlsxMonthly_revenue1"/>
        </x15:connection>
      </ext>
    </extLst>
  </connection>
  <connection id="8" xr16:uid="{785FB9A4-9FA2-4ACE-A61A-4F9E61C80579}" name="WorksheetConnection_amazon_dashboard.xlsx!Payment_Method_Breakdown" type="102" refreshedVersion="8" minRefreshableVersion="5">
    <extLst>
      <ext xmlns:x15="http://schemas.microsoft.com/office/spreadsheetml/2010/11/main" uri="{DE250136-89BD-433C-8126-D09CA5730AF9}">
        <x15:connection id="Payment_Method_Breakdown" autoDelete="1">
          <x15:rangePr sourceName="_xlcn.WorksheetConnection_amazon_dashboard.xlsxPayment_Method_Breakdown1"/>
        </x15:connection>
      </ext>
    </extLst>
  </connection>
  <connection id="9" xr16:uid="{0D3152CE-6ED2-4728-B443-0CD7DED1F69F}" name="WorksheetConnection_amazon_dashboard.xlsx!Rev_category" type="102" refreshedVersion="8" minRefreshableVersion="5">
    <extLst>
      <ext xmlns:x15="http://schemas.microsoft.com/office/spreadsheetml/2010/11/main" uri="{DE250136-89BD-433C-8126-D09CA5730AF9}">
        <x15:connection id="Rev_category" autoDelete="1">
          <x15:rangePr sourceName="_xlcn.WorksheetConnection_amazon_dashboard.xlsxRev_category1"/>
        </x15:connection>
      </ext>
    </extLst>
  </connection>
  <connection id="10" xr16:uid="{112AF4D3-A9BC-4C1C-A590-4FDB99EA0CF4}" name="WorksheetConnection_amazon_dashboard.xlsx!Rev_region" type="102" refreshedVersion="8" minRefreshableVersion="5">
    <extLst>
      <ext xmlns:x15="http://schemas.microsoft.com/office/spreadsheetml/2010/11/main" uri="{DE250136-89BD-433C-8126-D09CA5730AF9}">
        <x15:connection id="Rev_region" autoDelete="1">
          <x15:rangePr sourceName="_xlcn.WorksheetConnection_amazon_dashboard.xlsxRev_region1"/>
        </x15:connection>
      </ext>
    </extLst>
  </connection>
</connections>
</file>

<file path=xl/sharedStrings.xml><?xml version="1.0" encoding="utf-8"?>
<sst xmlns="http://schemas.openxmlformats.org/spreadsheetml/2006/main" count="81" uniqueCount="46">
  <si>
    <t>April</t>
  </si>
  <si>
    <t>August</t>
  </si>
  <si>
    <t>December</t>
  </si>
  <si>
    <t>February</t>
  </si>
  <si>
    <t>January</t>
  </si>
  <si>
    <t>July</t>
  </si>
  <si>
    <t>June</t>
  </si>
  <si>
    <t>March</t>
  </si>
  <si>
    <t>May</t>
  </si>
  <si>
    <t>month</t>
  </si>
  <si>
    <t>November</t>
  </si>
  <si>
    <t>October</t>
  </si>
  <si>
    <t>September</t>
  </si>
  <si>
    <t>monthly_revenue</t>
  </si>
  <si>
    <t>payment_method</t>
  </si>
  <si>
    <t>orders</t>
  </si>
  <si>
    <t>revenue</t>
  </si>
  <si>
    <t>UPI</t>
  </si>
  <si>
    <t>Credit Card</t>
  </si>
  <si>
    <t>Wallet</t>
  </si>
  <si>
    <t>Cash on Delivery</t>
  </si>
  <si>
    <t>Debit Card</t>
  </si>
  <si>
    <t>product_category</t>
  </si>
  <si>
    <t>Beauty</t>
  </si>
  <si>
    <t>Books</t>
  </si>
  <si>
    <t>Fashion</t>
  </si>
  <si>
    <t>Home &amp; Kitchen</t>
  </si>
  <si>
    <t>Electronics</t>
  </si>
  <si>
    <t>Sports</t>
  </si>
  <si>
    <t>customer_region</t>
  </si>
  <si>
    <t>revenue_reg</t>
  </si>
  <si>
    <t>Middle East</t>
  </si>
  <si>
    <t>North America</t>
  </si>
  <si>
    <t>Asia</t>
  </si>
  <si>
    <t>Europe</t>
  </si>
  <si>
    <t>total_revenue</t>
  </si>
  <si>
    <t>total_orders</t>
  </si>
  <si>
    <t>total_products</t>
  </si>
  <si>
    <t>avg_order_value</t>
  </si>
  <si>
    <t>Amazon sales and Perfomance by region</t>
  </si>
  <si>
    <t>Grand Total</t>
  </si>
  <si>
    <t>Row Labels</t>
  </si>
  <si>
    <t>Sum of monthly_revenue</t>
  </si>
  <si>
    <t>Sum of revenue</t>
  </si>
  <si>
    <t>Sum of revenue_reg</t>
  </si>
  <si>
    <t>Sum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</si>
</sst>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_-[$$-409]* #,##0.00_ ;_-[$$-409]* \-#,##0.00\ ;_-[$$-409]* &quot;-&quot;??_ ;_-@_ "/>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i/>
      <sz val="28"/>
      <color theme="1"/>
      <name val="Aptos Narrow"/>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0"/>
        <bgColor theme="9"/>
      </patternFill>
    </fill>
    <fill>
      <patternFill patternType="solid">
        <fgColor theme="7" tint="0.79998168889431442"/>
        <bgColor indexed="64"/>
      </patternFill>
    </fill>
  </fills>
  <borders count="1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0" fillId="2" borderId="1" xfId="0" applyFill="1" applyBorder="1"/>
    <xf numFmtId="0" fontId="0" fillId="2" borderId="2" xfId="0" applyFill="1" applyBorder="1"/>
    <xf numFmtId="0" fontId="0" fillId="0" borderId="1" xfId="0" applyBorder="1"/>
    <xf numFmtId="0" fontId="0" fillId="0" borderId="2" xfId="0" applyBorder="1"/>
    <xf numFmtId="0" fontId="0" fillId="0" borderId="0" xfId="0" pivotButton="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3" borderId="1" xfId="0" applyFont="1" applyFill="1" applyBorder="1"/>
    <xf numFmtId="0" fontId="2" fillId="3" borderId="3" xfId="0" applyFont="1" applyFill="1" applyBorder="1"/>
    <xf numFmtId="0" fontId="2" fillId="3" borderId="2" xfId="0" applyFont="1" applyFill="1" applyBorder="1"/>
    <xf numFmtId="0" fontId="0" fillId="0" borderId="0" xfId="0" applyAlignment="1">
      <alignment horizontal="left"/>
    </xf>
    <xf numFmtId="164" fontId="0" fillId="0" borderId="0" xfId="0" applyNumberFormat="1"/>
    <xf numFmtId="164" fontId="0" fillId="0" borderId="0" xfId="1" applyNumberFormat="1" applyFont="1"/>
    <xf numFmtId="10" fontId="0" fillId="0" borderId="0" xfId="0" applyNumberFormat="1"/>
    <xf numFmtId="0" fontId="3" fillId="4" borderId="0" xfId="0" applyFont="1" applyFill="1" applyAlignment="1">
      <alignment horizontal="center"/>
    </xf>
  </cellXfs>
  <cellStyles count="2">
    <cellStyle name="Currency" xfId="1" builtinId="4"/>
    <cellStyle name="Normal" xfId="0" builtinId="0"/>
  </cellStyles>
  <dxfs count="16">
    <dxf>
      <numFmt numFmtId="164" formatCode="_-[$$-409]* #,##0.00_ ;_-[$$-409]* \-#,##0.00\ ;_-[$$-409]* &quot;-&quot;??_ ;_-@_ "/>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164" formatCode="_-[$$-409]* #,##0.00_ ;_-[$$-409]* \-#,##0.0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[amazon_dashboard.xlsx]Monthly revenue!PivotTable2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p>
        </c:rich>
      </c:tx>
      <c:layout>
        <c:manualLayout>
          <c:xMode val="edge"/>
          <c:yMode val="edge"/>
          <c:x val="0.31540466127702854"/>
          <c:y val="3.5261714108017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revenue'!$H$1</c:f>
              <c:strCache>
                <c:ptCount val="1"/>
                <c:pt idx="0">
                  <c:v>Total</c:v>
                </c:pt>
              </c:strCache>
            </c:strRef>
          </c:tx>
          <c:spPr>
            <a:ln w="28575" cap="rnd">
              <a:solidFill>
                <a:schemeClr val="accent1"/>
              </a:solidFill>
              <a:round/>
            </a:ln>
            <a:effectLst/>
          </c:spPr>
          <c:marker>
            <c:symbol val="none"/>
          </c:marker>
          <c:cat>
            <c:strRef>
              <c:f>'Monthly revenue'!$G$2:$G$14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revenue'!$H$2:$H$14</c:f>
              <c:numCache>
                <c:formatCode>General</c:formatCode>
                <c:ptCount val="12"/>
                <c:pt idx="0">
                  <c:v>2883926.88</c:v>
                </c:pt>
                <c:pt idx="1">
                  <c:v>2505094.7999999998</c:v>
                </c:pt>
                <c:pt idx="2">
                  <c:v>2759003.83</c:v>
                </c:pt>
                <c:pt idx="3">
                  <c:v>2678973.77</c:v>
                </c:pt>
                <c:pt idx="4">
                  <c:v>2806178.34</c:v>
                </c:pt>
                <c:pt idx="5">
                  <c:v>2746947.62</c:v>
                </c:pt>
                <c:pt idx="6">
                  <c:v>2788265.84</c:v>
                </c:pt>
                <c:pt idx="7">
                  <c:v>2845629.94</c:v>
                </c:pt>
                <c:pt idx="8">
                  <c:v>2744974.92</c:v>
                </c:pt>
                <c:pt idx="9">
                  <c:v>2760754.34</c:v>
                </c:pt>
                <c:pt idx="10">
                  <c:v>2625428.52</c:v>
                </c:pt>
                <c:pt idx="11">
                  <c:v>2721394.94</c:v>
                </c:pt>
              </c:numCache>
            </c:numRef>
          </c:val>
          <c:smooth val="0"/>
          <c:extLst>
            <c:ext xmlns:c16="http://schemas.microsoft.com/office/drawing/2014/chart" uri="{C3380CC4-5D6E-409C-BE32-E72D297353CC}">
              <c16:uniqueId val="{00000000-C6BE-4F9C-979B-12BE7F03E00E}"/>
            </c:ext>
          </c:extLst>
        </c:ser>
        <c:dLbls>
          <c:showLegendKey val="0"/>
          <c:showVal val="0"/>
          <c:showCatName val="0"/>
          <c:showSerName val="0"/>
          <c:showPercent val="0"/>
          <c:showBubbleSize val="0"/>
        </c:dLbls>
        <c:smooth val="0"/>
        <c:axId val="508185023"/>
        <c:axId val="508175903"/>
      </c:lineChart>
      <c:catAx>
        <c:axId val="508185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75903"/>
        <c:crosses val="autoZero"/>
        <c:auto val="1"/>
        <c:lblAlgn val="ctr"/>
        <c:lblOffset val="100"/>
        <c:noMultiLvlLbl val="0"/>
      </c:catAx>
      <c:valAx>
        <c:axId val="508175903"/>
        <c:scaling>
          <c:orientation val="minMax"/>
          <c:min val="24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18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[amazon_dashboard.xlsx]Rev_category!PivotTable3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the product's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'Rev_category'!$B$9</c:f>
              <c:strCache>
                <c:ptCount val="1"/>
                <c:pt idx="0">
                  <c:v>Total</c:v>
                </c:pt>
              </c:strCache>
            </c:strRef>
          </c:tx>
          <c:spPr>
            <a:solidFill>
              <a:schemeClr val="accent1"/>
            </a:solidFill>
            <a:ln>
              <a:noFill/>
            </a:ln>
            <a:effectLst/>
          </c:spPr>
          <c:invertIfNegative val="0"/>
          <c:cat>
            <c:strRef>
              <c:f>'Rev_category'!$A$10:$A$16</c:f>
              <c:strCache>
                <c:ptCount val="6"/>
                <c:pt idx="0">
                  <c:v>Beauty</c:v>
                </c:pt>
                <c:pt idx="1">
                  <c:v>Books</c:v>
                </c:pt>
                <c:pt idx="2">
                  <c:v>Fashion</c:v>
                </c:pt>
                <c:pt idx="3">
                  <c:v>Home &amp; Kitchen</c:v>
                </c:pt>
                <c:pt idx="4">
                  <c:v>Electronics</c:v>
                </c:pt>
                <c:pt idx="5">
                  <c:v>Sports</c:v>
                </c:pt>
              </c:strCache>
            </c:strRef>
          </c:cat>
          <c:val>
            <c:numRef>
              <c:f>'Rev_category'!$B$10:$B$16</c:f>
              <c:numCache>
                <c:formatCode>_-[$$-409]* #\ ##0.00_ ;_-[$$-409]* \-#\ ##0.00\ ;_-[$$-409]* "-"??_ ;_-@_ </c:formatCode>
                <c:ptCount val="6"/>
                <c:pt idx="0">
                  <c:v>5550624.9699999997</c:v>
                </c:pt>
                <c:pt idx="1">
                  <c:v>5484863.0300000003</c:v>
                </c:pt>
                <c:pt idx="2">
                  <c:v>5480123.3399999999</c:v>
                </c:pt>
                <c:pt idx="3">
                  <c:v>5473132.5499999998</c:v>
                </c:pt>
                <c:pt idx="4">
                  <c:v>5470594.0300000003</c:v>
                </c:pt>
                <c:pt idx="5">
                  <c:v>5407235.8200000003</c:v>
                </c:pt>
              </c:numCache>
            </c:numRef>
          </c:val>
          <c:extLst>
            <c:ext xmlns:c16="http://schemas.microsoft.com/office/drawing/2014/chart" uri="{C3380CC4-5D6E-409C-BE32-E72D297353CC}">
              <c16:uniqueId val="{00000000-43DB-4FC5-B020-E22547287A07}"/>
            </c:ext>
          </c:extLst>
        </c:ser>
        <c:dLbls>
          <c:showLegendKey val="0"/>
          <c:showVal val="0"/>
          <c:showCatName val="0"/>
          <c:showSerName val="0"/>
          <c:showPercent val="0"/>
          <c:showBubbleSize val="0"/>
        </c:dLbls>
        <c:gapWidth val="219"/>
        <c:axId val="146938655"/>
        <c:axId val="146936255"/>
      </c:barChart>
      <c:catAx>
        <c:axId val="146938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product_category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6255"/>
        <c:crosses val="autoZero"/>
        <c:auto val="1"/>
        <c:lblAlgn val="ctr"/>
        <c:lblOffset val="100"/>
        <c:noMultiLvlLbl val="0"/>
      </c:catAx>
      <c:valAx>
        <c:axId val="146936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[amazon_dashboard.xlsx]Rev_region!PivotTable4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Looking</a:t>
            </a:r>
            <a:r>
              <a:rPr lang="en-US" baseline="0"/>
              <a:t> at 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'Rev_region'!$B$7</c:f>
              <c:strCache>
                <c:ptCount val="1"/>
                <c:pt idx="0">
                  <c:v>Total</c:v>
                </c:pt>
              </c:strCache>
            </c:strRef>
          </c:tx>
          <c:spPr>
            <a:solidFill>
              <a:schemeClr val="accent1"/>
            </a:solidFill>
            <a:ln>
              <a:noFill/>
            </a:ln>
            <a:effectLst/>
          </c:spPr>
          <c:invertIfNegative val="0"/>
          <c:cat>
            <c:strRef>
              <c:f>'Rev_region'!$A$8:$A$12</c:f>
              <c:strCache>
                <c:ptCount val="4"/>
                <c:pt idx="0">
                  <c:v>Europe</c:v>
                </c:pt>
                <c:pt idx="1">
                  <c:v>Asia</c:v>
                </c:pt>
                <c:pt idx="2">
                  <c:v>North America</c:v>
                </c:pt>
                <c:pt idx="3">
                  <c:v>Middle East</c:v>
                </c:pt>
              </c:strCache>
            </c:strRef>
          </c:cat>
          <c:val>
            <c:numRef>
              <c:f>'Rev_region'!$B$8:$B$12</c:f>
              <c:numCache>
                <c:formatCode>General</c:formatCode>
                <c:ptCount val="4"/>
                <c:pt idx="0">
                  <c:v>8112311.5700000003</c:v>
                </c:pt>
                <c:pt idx="1">
                  <c:v>8175199.8300000001</c:v>
                </c:pt>
                <c:pt idx="2">
                  <c:v>8277217.8399999999</c:v>
                </c:pt>
                <c:pt idx="3">
                  <c:v>8301844.5</c:v>
                </c:pt>
              </c:numCache>
            </c:numRef>
          </c:val>
          <c:extLst>
            <c:ext xmlns:c16="http://schemas.microsoft.com/office/drawing/2014/chart" uri="{C3380CC4-5D6E-409C-BE32-E72D297353CC}">
              <c16:uniqueId val="{00000000-25FE-41EF-A0E3-5E8E28E6A925}"/>
            </c:ext>
          </c:extLst>
        </c:ser>
        <c:dLbls>
          <c:showLegendKey val="0"/>
          <c:showVal val="0"/>
          <c:showCatName val="0"/>
          <c:showSerName val="0"/>
          <c:showPercent val="0"/>
          <c:showBubbleSize val="0"/>
        </c:dLbls>
        <c:gapWidth val="219"/>
        <c:axId val="146952095"/>
        <c:axId val="146952575"/>
      </c:barChart>
      <c:catAx>
        <c:axId val="1469520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2575"/>
        <c:crosses val="autoZero"/>
        <c:auto val="1"/>
        <c:lblAlgn val="ctr"/>
        <c:lblOffset val="100"/>
        <c:noMultiLvlLbl val="0"/>
      </c:catAx>
      <c:valAx>
        <c:axId val="14695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[amazon_dashboard.xlsx]Payment Method Breakdown!PivotTable7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Percentage</a:t>
            </a:r>
            <a:r>
              <a:rPr lang="en-ZA" baseline="0"/>
              <a:t> of the different payment method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doughnutChart>
        <c:varyColors val="1"/>
        <c:ser>
          <c:idx val="0"/>
          <c:order val="0"/>
          <c:tx>
            <c:strRef>
              <c:f>'Payment Method Breakdown'!$B$8</c:f>
              <c:strCache>
                <c:ptCount val="1"/>
                <c:pt idx="0">
                  <c:v>Sum of orders</c:v>
                </c:pt>
              </c:strCache>
            </c:strRef>
          </c:tx>
          <c:dPt>
            <c:idx val="0"/>
            <c:bubble3D val="0"/>
            <c:spPr>
              <a:solidFill>
                <a:schemeClr val="accent1"/>
              </a:solidFill>
              <a:ln>
                <a:noFill/>
              </a:ln>
              <a:effectLst/>
            </c:spPr>
            <c:extLst>
              <c:ext xmlns:c16="http://schemas.microsoft.com/office/drawing/2014/chart" uri="{C3380CC4-5D6E-409C-BE32-E72D297353CC}">
                <c16:uniqueId val="{00000001-CDC2-4748-9F26-12A157CA275B}"/>
              </c:ext>
            </c:extLst>
          </c:dPt>
          <c:dPt>
            <c:idx val="1"/>
            <c:bubble3D val="0"/>
            <c:spPr>
              <a:solidFill>
                <a:schemeClr val="accent2"/>
              </a:solidFill>
              <a:ln>
                <a:noFill/>
              </a:ln>
              <a:effectLst/>
            </c:spPr>
            <c:extLst>
              <c:ext xmlns:c16="http://schemas.microsoft.com/office/drawing/2014/chart" uri="{C3380CC4-5D6E-409C-BE32-E72D297353CC}">
                <c16:uniqueId val="{00000003-CDC2-4748-9F26-12A157CA275B}"/>
              </c:ext>
            </c:extLst>
          </c:dPt>
          <c:dPt>
            <c:idx val="2"/>
            <c:bubble3D val="0"/>
            <c:spPr>
              <a:solidFill>
                <a:schemeClr val="accent3"/>
              </a:solidFill>
              <a:ln>
                <a:noFill/>
              </a:ln>
              <a:effectLst/>
            </c:spPr>
            <c:extLst>
              <c:ext xmlns:c16="http://schemas.microsoft.com/office/drawing/2014/chart" uri="{C3380CC4-5D6E-409C-BE32-E72D297353CC}">
                <c16:uniqueId val="{00000005-CDC2-4748-9F26-12A157CA275B}"/>
              </c:ext>
            </c:extLst>
          </c:dPt>
          <c:dPt>
            <c:idx val="3"/>
            <c:bubble3D val="0"/>
            <c:spPr>
              <a:solidFill>
                <a:schemeClr val="accent4"/>
              </a:solidFill>
              <a:ln>
                <a:noFill/>
              </a:ln>
              <a:effectLst/>
            </c:spPr>
            <c:extLst>
              <c:ext xmlns:c16="http://schemas.microsoft.com/office/drawing/2014/chart" uri="{C3380CC4-5D6E-409C-BE32-E72D297353CC}">
                <c16:uniqueId val="{00000007-CDC2-4748-9F26-12A157CA275B}"/>
              </c:ext>
            </c:extLst>
          </c:dPt>
          <c:dPt>
            <c:idx val="4"/>
            <c:bubble3D val="0"/>
            <c:spPr>
              <a:solidFill>
                <a:schemeClr val="accent5"/>
              </a:solidFill>
              <a:ln>
                <a:noFill/>
              </a:ln>
              <a:effectLst/>
            </c:spPr>
            <c:extLst>
              <c:ext xmlns:c16="http://schemas.microsoft.com/office/drawing/2014/chart" uri="{C3380CC4-5D6E-409C-BE32-E72D297353CC}">
                <c16:uniqueId val="{00000009-CDC2-4748-9F26-12A157CA275B}"/>
              </c:ext>
            </c:extLst>
          </c:dPt>
          <c:cat>
            <c:strRef>
              <c:f>'Payment Method Breakdown'!$A$9:$A$14</c:f>
              <c:strCache>
                <c:ptCount val="5"/>
                <c:pt idx="0">
                  <c:v>Cash on Delivery</c:v>
                </c:pt>
                <c:pt idx="1">
                  <c:v>Credit Card</c:v>
                </c:pt>
                <c:pt idx="2">
                  <c:v>Debit Card</c:v>
                </c:pt>
                <c:pt idx="3">
                  <c:v>UPI</c:v>
                </c:pt>
                <c:pt idx="4">
                  <c:v>Wallet</c:v>
                </c:pt>
              </c:strCache>
            </c:strRef>
          </c:cat>
          <c:val>
            <c:numRef>
              <c:f>'Payment Method Breakdown'!$B$9:$B$14</c:f>
              <c:numCache>
                <c:formatCode>0.00%</c:formatCode>
                <c:ptCount val="5"/>
                <c:pt idx="0">
                  <c:v>0.19853999999999999</c:v>
                </c:pt>
                <c:pt idx="1">
                  <c:v>0.19816</c:v>
                </c:pt>
                <c:pt idx="2">
                  <c:v>0.19961999999999999</c:v>
                </c:pt>
                <c:pt idx="3">
                  <c:v>0.20155999999999999</c:v>
                </c:pt>
                <c:pt idx="4">
                  <c:v>0.20211999999999999</c:v>
                </c:pt>
              </c:numCache>
            </c:numRef>
          </c:val>
          <c:extLst>
            <c:ext xmlns:c16="http://schemas.microsoft.com/office/drawing/2014/chart" uri="{C3380CC4-5D6E-409C-BE32-E72D297353CC}">
              <c16:uniqueId val="{0000000A-CDC2-4748-9F26-12A157CA275B}"/>
            </c:ext>
          </c:extLst>
        </c:ser>
        <c:ser>
          <c:idx val="1"/>
          <c:order val="1"/>
          <c:tx>
            <c:strRef>
              <c:f>'Payment Method Breakdown'!$C$8</c:f>
              <c:strCache>
                <c:ptCount val="1"/>
                <c:pt idx="0">
                  <c:v>Sum of revenue</c:v>
                </c:pt>
              </c:strCache>
            </c:strRef>
          </c:tx>
          <c:dPt>
            <c:idx val="0"/>
            <c:bubble3D val="0"/>
            <c:spPr>
              <a:solidFill>
                <a:schemeClr val="accent1"/>
              </a:solidFill>
              <a:ln>
                <a:noFill/>
              </a:ln>
              <a:effectLst/>
            </c:spPr>
            <c:extLst>
              <c:ext xmlns:c16="http://schemas.microsoft.com/office/drawing/2014/chart" uri="{C3380CC4-5D6E-409C-BE32-E72D297353CC}">
                <c16:uniqueId val="{0000000C-CDC2-4748-9F26-12A157CA275B}"/>
              </c:ext>
            </c:extLst>
          </c:dPt>
          <c:dPt>
            <c:idx val="1"/>
            <c:bubble3D val="0"/>
            <c:spPr>
              <a:solidFill>
                <a:schemeClr val="accent2"/>
              </a:solidFill>
              <a:ln>
                <a:noFill/>
              </a:ln>
              <a:effectLst/>
            </c:spPr>
            <c:extLst>
              <c:ext xmlns:c16="http://schemas.microsoft.com/office/drawing/2014/chart" uri="{C3380CC4-5D6E-409C-BE32-E72D297353CC}">
                <c16:uniqueId val="{0000000E-CDC2-4748-9F26-12A157CA275B}"/>
              </c:ext>
            </c:extLst>
          </c:dPt>
          <c:dPt>
            <c:idx val="2"/>
            <c:bubble3D val="0"/>
            <c:spPr>
              <a:solidFill>
                <a:schemeClr val="accent3"/>
              </a:solidFill>
              <a:ln>
                <a:noFill/>
              </a:ln>
              <a:effectLst/>
            </c:spPr>
            <c:extLst>
              <c:ext xmlns:c16="http://schemas.microsoft.com/office/drawing/2014/chart" uri="{C3380CC4-5D6E-409C-BE32-E72D297353CC}">
                <c16:uniqueId val="{00000010-CDC2-4748-9F26-12A157CA275B}"/>
              </c:ext>
            </c:extLst>
          </c:dPt>
          <c:dPt>
            <c:idx val="3"/>
            <c:bubble3D val="0"/>
            <c:spPr>
              <a:solidFill>
                <a:schemeClr val="accent4"/>
              </a:solidFill>
              <a:ln>
                <a:noFill/>
              </a:ln>
              <a:effectLst/>
            </c:spPr>
            <c:extLst>
              <c:ext xmlns:c16="http://schemas.microsoft.com/office/drawing/2014/chart" uri="{C3380CC4-5D6E-409C-BE32-E72D297353CC}">
                <c16:uniqueId val="{00000012-CDC2-4748-9F26-12A157CA275B}"/>
              </c:ext>
            </c:extLst>
          </c:dPt>
          <c:dPt>
            <c:idx val="4"/>
            <c:bubble3D val="0"/>
            <c:spPr>
              <a:solidFill>
                <a:schemeClr val="accent5"/>
              </a:solidFill>
              <a:ln>
                <a:noFill/>
              </a:ln>
              <a:effectLst/>
            </c:spPr>
            <c:extLst>
              <c:ext xmlns:c16="http://schemas.microsoft.com/office/drawing/2014/chart" uri="{C3380CC4-5D6E-409C-BE32-E72D297353CC}">
                <c16:uniqueId val="{00000014-CDC2-4748-9F26-12A157CA275B}"/>
              </c:ext>
            </c:extLst>
          </c:dPt>
          <c:cat>
            <c:strRef>
              <c:f>'Payment Method Breakdown'!$A$9:$A$14</c:f>
              <c:strCache>
                <c:ptCount val="5"/>
                <c:pt idx="0">
                  <c:v>Cash on Delivery</c:v>
                </c:pt>
                <c:pt idx="1">
                  <c:v>Credit Card</c:v>
                </c:pt>
                <c:pt idx="2">
                  <c:v>Debit Card</c:v>
                </c:pt>
                <c:pt idx="3">
                  <c:v>UPI</c:v>
                </c:pt>
                <c:pt idx="4">
                  <c:v>Wallet</c:v>
                </c:pt>
              </c:strCache>
            </c:strRef>
          </c:cat>
          <c:val>
            <c:numRef>
              <c:f>'Payment Method Breakdown'!$C$9:$C$14</c:f>
              <c:numCache>
                <c:formatCode>General</c:formatCode>
                <c:ptCount val="5"/>
                <c:pt idx="0">
                  <c:v>6546386.9400000004</c:v>
                </c:pt>
                <c:pt idx="1">
                  <c:v>6540087.1600000001</c:v>
                </c:pt>
                <c:pt idx="2">
                  <c:v>6522019.7300000004</c:v>
                </c:pt>
                <c:pt idx="3">
                  <c:v>6579441.4400000004</c:v>
                </c:pt>
                <c:pt idx="4">
                  <c:v>6678638.4699999997</c:v>
                </c:pt>
              </c:numCache>
            </c:numRef>
          </c:val>
          <c:extLst>
            <c:ext xmlns:c16="http://schemas.microsoft.com/office/drawing/2014/chart" uri="{C3380CC4-5D6E-409C-BE32-E72D297353CC}">
              <c16:uniqueId val="{00000015-CDC2-4748-9F26-12A157CA275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[amazon_dashboard.xlsx]Payment Method Breakdown!PivotTable7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Percentage</a:t>
            </a:r>
            <a:r>
              <a:rPr lang="en-ZA" baseline="0"/>
              <a:t> of the different payment method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doughnutChart>
        <c:varyColors val="1"/>
        <c:ser>
          <c:idx val="0"/>
          <c:order val="0"/>
          <c:tx>
            <c:strRef>
              <c:f>'Payment Method Breakdown'!$B$8</c:f>
              <c:strCache>
                <c:ptCount val="1"/>
                <c:pt idx="0">
                  <c:v>Sum of orders</c:v>
                </c:pt>
              </c:strCache>
            </c:strRef>
          </c:tx>
          <c:dPt>
            <c:idx val="0"/>
            <c:bubble3D val="0"/>
            <c:spPr>
              <a:solidFill>
                <a:schemeClr val="accent1"/>
              </a:solidFill>
              <a:ln>
                <a:noFill/>
              </a:ln>
              <a:effectLst/>
            </c:spPr>
            <c:extLst>
              <c:ext xmlns:c16="http://schemas.microsoft.com/office/drawing/2014/chart" uri="{C3380CC4-5D6E-409C-BE32-E72D297353CC}">
                <c16:uniqueId val="{00000001-87AD-4C83-BB3E-753A5BFCCA15}"/>
              </c:ext>
            </c:extLst>
          </c:dPt>
          <c:dPt>
            <c:idx val="1"/>
            <c:bubble3D val="0"/>
            <c:spPr>
              <a:solidFill>
                <a:schemeClr val="accent2"/>
              </a:solidFill>
              <a:ln>
                <a:noFill/>
              </a:ln>
              <a:effectLst/>
            </c:spPr>
            <c:extLst>
              <c:ext xmlns:c16="http://schemas.microsoft.com/office/drawing/2014/chart" uri="{C3380CC4-5D6E-409C-BE32-E72D297353CC}">
                <c16:uniqueId val="{00000003-87AD-4C83-BB3E-753A5BFCCA15}"/>
              </c:ext>
            </c:extLst>
          </c:dPt>
          <c:dPt>
            <c:idx val="2"/>
            <c:bubble3D val="0"/>
            <c:spPr>
              <a:solidFill>
                <a:schemeClr val="accent3"/>
              </a:solidFill>
              <a:ln>
                <a:noFill/>
              </a:ln>
              <a:effectLst/>
            </c:spPr>
            <c:extLst>
              <c:ext xmlns:c16="http://schemas.microsoft.com/office/drawing/2014/chart" uri="{C3380CC4-5D6E-409C-BE32-E72D297353CC}">
                <c16:uniqueId val="{00000005-87AD-4C83-BB3E-753A5BFCCA15}"/>
              </c:ext>
            </c:extLst>
          </c:dPt>
          <c:dPt>
            <c:idx val="3"/>
            <c:bubble3D val="0"/>
            <c:spPr>
              <a:solidFill>
                <a:schemeClr val="accent4"/>
              </a:solidFill>
              <a:ln>
                <a:noFill/>
              </a:ln>
              <a:effectLst/>
            </c:spPr>
            <c:extLst>
              <c:ext xmlns:c16="http://schemas.microsoft.com/office/drawing/2014/chart" uri="{C3380CC4-5D6E-409C-BE32-E72D297353CC}">
                <c16:uniqueId val="{00000007-87AD-4C83-BB3E-753A5BFCCA15}"/>
              </c:ext>
            </c:extLst>
          </c:dPt>
          <c:dPt>
            <c:idx val="4"/>
            <c:bubble3D val="0"/>
            <c:spPr>
              <a:solidFill>
                <a:schemeClr val="accent5"/>
              </a:solidFill>
              <a:ln>
                <a:noFill/>
              </a:ln>
              <a:effectLst/>
            </c:spPr>
            <c:extLst>
              <c:ext xmlns:c16="http://schemas.microsoft.com/office/drawing/2014/chart" uri="{C3380CC4-5D6E-409C-BE32-E72D297353CC}">
                <c16:uniqueId val="{00000009-87AD-4C83-BB3E-753A5BFCCA15}"/>
              </c:ext>
            </c:extLst>
          </c:dPt>
          <c:cat>
            <c:strRef>
              <c:f>'Payment Method Breakdown'!$A$9:$A$14</c:f>
              <c:strCache>
                <c:ptCount val="5"/>
                <c:pt idx="0">
                  <c:v>Cash on Delivery</c:v>
                </c:pt>
                <c:pt idx="1">
                  <c:v>Credit Card</c:v>
                </c:pt>
                <c:pt idx="2">
                  <c:v>Debit Card</c:v>
                </c:pt>
                <c:pt idx="3">
                  <c:v>UPI</c:v>
                </c:pt>
                <c:pt idx="4">
                  <c:v>Wallet</c:v>
                </c:pt>
              </c:strCache>
            </c:strRef>
          </c:cat>
          <c:val>
            <c:numRef>
              <c:f>'Payment Method Breakdown'!$B$9:$B$14</c:f>
              <c:numCache>
                <c:formatCode>0.00%</c:formatCode>
                <c:ptCount val="5"/>
                <c:pt idx="0">
                  <c:v>0.19853999999999999</c:v>
                </c:pt>
                <c:pt idx="1">
                  <c:v>0.19816</c:v>
                </c:pt>
                <c:pt idx="2">
                  <c:v>0.19961999999999999</c:v>
                </c:pt>
                <c:pt idx="3">
                  <c:v>0.20155999999999999</c:v>
                </c:pt>
                <c:pt idx="4">
                  <c:v>0.20211999999999999</c:v>
                </c:pt>
              </c:numCache>
            </c:numRef>
          </c:val>
          <c:extLst>
            <c:ext xmlns:c16="http://schemas.microsoft.com/office/drawing/2014/chart" uri="{C3380CC4-5D6E-409C-BE32-E72D297353CC}">
              <c16:uniqueId val="{00000000-DC61-4B45-BB8B-E5FF85D312DE}"/>
            </c:ext>
          </c:extLst>
        </c:ser>
        <c:ser>
          <c:idx val="1"/>
          <c:order val="1"/>
          <c:tx>
            <c:strRef>
              <c:f>'Payment Method Breakdown'!$C$8</c:f>
              <c:strCache>
                <c:ptCount val="1"/>
                <c:pt idx="0">
                  <c:v>Sum of revenue</c:v>
                </c:pt>
              </c:strCache>
            </c:strRef>
          </c:tx>
          <c:dPt>
            <c:idx val="0"/>
            <c:bubble3D val="0"/>
            <c:spPr>
              <a:solidFill>
                <a:schemeClr val="accent1"/>
              </a:solidFill>
              <a:ln>
                <a:noFill/>
              </a:ln>
              <a:effectLst/>
            </c:spPr>
            <c:extLst>
              <c:ext xmlns:c16="http://schemas.microsoft.com/office/drawing/2014/chart" uri="{C3380CC4-5D6E-409C-BE32-E72D297353CC}">
                <c16:uniqueId val="{0000000B-87AD-4C83-BB3E-753A5BFCCA15}"/>
              </c:ext>
            </c:extLst>
          </c:dPt>
          <c:dPt>
            <c:idx val="1"/>
            <c:bubble3D val="0"/>
            <c:spPr>
              <a:solidFill>
                <a:schemeClr val="accent2"/>
              </a:solidFill>
              <a:ln>
                <a:noFill/>
              </a:ln>
              <a:effectLst/>
            </c:spPr>
            <c:extLst>
              <c:ext xmlns:c16="http://schemas.microsoft.com/office/drawing/2014/chart" uri="{C3380CC4-5D6E-409C-BE32-E72D297353CC}">
                <c16:uniqueId val="{0000000D-87AD-4C83-BB3E-753A5BFCCA15}"/>
              </c:ext>
            </c:extLst>
          </c:dPt>
          <c:dPt>
            <c:idx val="2"/>
            <c:bubble3D val="0"/>
            <c:spPr>
              <a:solidFill>
                <a:schemeClr val="accent3"/>
              </a:solidFill>
              <a:ln>
                <a:noFill/>
              </a:ln>
              <a:effectLst/>
            </c:spPr>
            <c:extLst>
              <c:ext xmlns:c16="http://schemas.microsoft.com/office/drawing/2014/chart" uri="{C3380CC4-5D6E-409C-BE32-E72D297353CC}">
                <c16:uniqueId val="{0000000F-87AD-4C83-BB3E-753A5BFCCA15}"/>
              </c:ext>
            </c:extLst>
          </c:dPt>
          <c:dPt>
            <c:idx val="3"/>
            <c:bubble3D val="0"/>
            <c:spPr>
              <a:solidFill>
                <a:schemeClr val="accent4"/>
              </a:solidFill>
              <a:ln>
                <a:noFill/>
              </a:ln>
              <a:effectLst/>
            </c:spPr>
            <c:extLst>
              <c:ext xmlns:c16="http://schemas.microsoft.com/office/drawing/2014/chart" uri="{C3380CC4-5D6E-409C-BE32-E72D297353CC}">
                <c16:uniqueId val="{00000011-87AD-4C83-BB3E-753A5BFCCA15}"/>
              </c:ext>
            </c:extLst>
          </c:dPt>
          <c:dPt>
            <c:idx val="4"/>
            <c:bubble3D val="0"/>
            <c:spPr>
              <a:solidFill>
                <a:schemeClr val="accent5"/>
              </a:solidFill>
              <a:ln>
                <a:noFill/>
              </a:ln>
              <a:effectLst/>
            </c:spPr>
            <c:extLst>
              <c:ext xmlns:c16="http://schemas.microsoft.com/office/drawing/2014/chart" uri="{C3380CC4-5D6E-409C-BE32-E72D297353CC}">
                <c16:uniqueId val="{00000013-87AD-4C83-BB3E-753A5BFCCA15}"/>
              </c:ext>
            </c:extLst>
          </c:dPt>
          <c:cat>
            <c:strRef>
              <c:f>'Payment Method Breakdown'!$A$9:$A$14</c:f>
              <c:strCache>
                <c:ptCount val="5"/>
                <c:pt idx="0">
                  <c:v>Cash on Delivery</c:v>
                </c:pt>
                <c:pt idx="1">
                  <c:v>Credit Card</c:v>
                </c:pt>
                <c:pt idx="2">
                  <c:v>Debit Card</c:v>
                </c:pt>
                <c:pt idx="3">
                  <c:v>UPI</c:v>
                </c:pt>
                <c:pt idx="4">
                  <c:v>Wallet</c:v>
                </c:pt>
              </c:strCache>
            </c:strRef>
          </c:cat>
          <c:val>
            <c:numRef>
              <c:f>'Payment Method Breakdown'!$C$9:$C$14</c:f>
              <c:numCache>
                <c:formatCode>General</c:formatCode>
                <c:ptCount val="5"/>
                <c:pt idx="0">
                  <c:v>6546386.9400000004</c:v>
                </c:pt>
                <c:pt idx="1">
                  <c:v>6540087.1600000001</c:v>
                </c:pt>
                <c:pt idx="2">
                  <c:v>6522019.7300000004</c:v>
                </c:pt>
                <c:pt idx="3">
                  <c:v>6579441.4400000004</c:v>
                </c:pt>
                <c:pt idx="4">
                  <c:v>6678638.4699999997</c:v>
                </c:pt>
              </c:numCache>
            </c:numRef>
          </c:val>
          <c:extLst>
            <c:ext xmlns:c16="http://schemas.microsoft.com/office/drawing/2014/chart" uri="{C3380CC4-5D6E-409C-BE32-E72D297353CC}">
              <c16:uniqueId val="{00000002-DC61-4B45-BB8B-E5FF85D312D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214312</xdr:colOff>
      <xdr:row>1</xdr:row>
      <xdr:rowOff>19051</xdr:rowOff>
    </xdr:from>
    <xdr:to>
      <xdr:col>4</xdr:col>
      <xdr:colOff>47625</xdr:colOff>
      <xdr:row>5</xdr:row>
      <xdr:rowOff>171451</xdr:rowOff>
    </xdr:to>
    <xdr:sp macro="" textlink="KPIs!$A$2">
      <xdr:nvSpPr>
        <xdr:cNvPr id="2" name="Rectangle 1">
          <a:extLst>
            <a:ext uri="{FF2B5EF4-FFF2-40B4-BE49-F238E27FC236}">
              <a16:creationId xmlns:a16="http://schemas.microsoft.com/office/drawing/2014/main" id="{94A306F0-32E3-6E40-5BF3-66FD40FAA966}"/>
            </a:ext>
          </a:extLst>
        </xdr:cNvPr>
        <xdr:cNvSpPr/>
      </xdr:nvSpPr>
      <xdr:spPr>
        <a:xfrm>
          <a:off x="214312" y="280989"/>
          <a:ext cx="2262188" cy="914400"/>
        </a:xfrm>
        <a:prstGeom prst="rect">
          <a:avLst/>
        </a:prstGeom>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800" b="0" i="1" cap="none" spc="0">
              <a:ln w="0"/>
              <a:solidFill>
                <a:schemeClr val="accent1"/>
              </a:solidFill>
              <a:effectLst>
                <a:outerShdw blurRad="38100" dist="25400" dir="5400000" algn="ctr" rotWithShape="0">
                  <a:srgbClr val="6E747A">
                    <a:alpha val="43000"/>
                  </a:srgbClr>
                </a:outerShdw>
              </a:effectLst>
            </a:rPr>
            <a:t>Total</a:t>
          </a:r>
          <a:r>
            <a:rPr lang="en-ZA" sz="1800" b="0" i="1" cap="none" spc="0" baseline="0">
              <a:ln w="0"/>
              <a:solidFill>
                <a:schemeClr val="accent1"/>
              </a:solidFill>
              <a:effectLst>
                <a:outerShdw blurRad="38100" dist="25400" dir="5400000" algn="ctr" rotWithShape="0">
                  <a:srgbClr val="6E747A">
                    <a:alpha val="43000"/>
                  </a:srgbClr>
                </a:outerShdw>
              </a:effectLst>
            </a:rPr>
            <a:t> Revenue</a:t>
          </a:r>
          <a:endParaRPr lang="en-ZA" sz="1800" b="0" i="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xdr:col>
      <xdr:colOff>369093</xdr:colOff>
      <xdr:row>1</xdr:row>
      <xdr:rowOff>35718</xdr:rowOff>
    </xdr:from>
    <xdr:to>
      <xdr:col>8</xdr:col>
      <xdr:colOff>309563</xdr:colOff>
      <xdr:row>5</xdr:row>
      <xdr:rowOff>161925</xdr:rowOff>
    </xdr:to>
    <xdr:sp macro="" textlink="">
      <xdr:nvSpPr>
        <xdr:cNvPr id="3" name="Rectangle 2">
          <a:extLst>
            <a:ext uri="{FF2B5EF4-FFF2-40B4-BE49-F238E27FC236}">
              <a16:creationId xmlns:a16="http://schemas.microsoft.com/office/drawing/2014/main" id="{C5299F5C-3E4A-E24A-C992-E519A7D2589A}"/>
            </a:ext>
          </a:extLst>
        </xdr:cNvPr>
        <xdr:cNvSpPr/>
      </xdr:nvSpPr>
      <xdr:spPr>
        <a:xfrm>
          <a:off x="2797968" y="297656"/>
          <a:ext cx="2369345" cy="888207"/>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i="1" cap="none" spc="0">
              <a:ln w="0"/>
              <a:solidFill>
                <a:schemeClr val="accent1"/>
              </a:solidFill>
              <a:effectLst>
                <a:outerShdw blurRad="38100" dist="25400" dir="5400000" algn="ctr" rotWithShape="0">
                  <a:srgbClr val="6E747A">
                    <a:alpha val="43000"/>
                  </a:srgbClr>
                </a:outerShdw>
              </a:effectLst>
            </a:rPr>
            <a:t>Total</a:t>
          </a:r>
          <a:r>
            <a:rPr lang="en-US" sz="1100" b="0" cap="none" spc="0" baseline="0">
              <a:ln w="0"/>
              <a:solidFill>
                <a:schemeClr val="accent1"/>
              </a:solidFill>
              <a:effectLst>
                <a:outerShdw blurRad="38100" dist="25400" dir="5400000" algn="ctr" rotWithShape="0">
                  <a:srgbClr val="6E747A">
                    <a:alpha val="43000"/>
                  </a:srgbClr>
                </a:outerShdw>
              </a:effectLst>
            </a:rPr>
            <a:t> </a:t>
          </a:r>
          <a:r>
            <a:rPr lang="en-US" sz="1800" b="0" i="1" cap="none" spc="0" baseline="0">
              <a:ln w="0"/>
              <a:solidFill>
                <a:schemeClr val="accent1"/>
              </a:solidFill>
              <a:effectLst>
                <a:outerShdw blurRad="38100" dist="25400" dir="5400000" algn="ctr" rotWithShape="0">
                  <a:srgbClr val="6E747A">
                    <a:alpha val="43000"/>
                  </a:srgbClr>
                </a:outerShdw>
              </a:effectLst>
            </a:rPr>
            <a:t>Orders</a:t>
          </a:r>
          <a:endParaRPr lang="en-US" sz="1800" b="0" i="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9</xdr:col>
      <xdr:colOff>35718</xdr:colOff>
      <xdr:row>1</xdr:row>
      <xdr:rowOff>35717</xdr:rowOff>
    </xdr:from>
    <xdr:to>
      <xdr:col>13</xdr:col>
      <xdr:colOff>285750</xdr:colOff>
      <xdr:row>5</xdr:row>
      <xdr:rowOff>171448</xdr:rowOff>
    </xdr:to>
    <xdr:sp macro="" textlink="KPIs!$C$2">
      <xdr:nvSpPr>
        <xdr:cNvPr id="4" name="Rectangle 3">
          <a:extLst>
            <a:ext uri="{FF2B5EF4-FFF2-40B4-BE49-F238E27FC236}">
              <a16:creationId xmlns:a16="http://schemas.microsoft.com/office/drawing/2014/main" id="{29591CD6-D67C-DBFD-0103-6A9D978C6CC7}"/>
            </a:ext>
          </a:extLst>
        </xdr:cNvPr>
        <xdr:cNvSpPr/>
      </xdr:nvSpPr>
      <xdr:spPr>
        <a:xfrm>
          <a:off x="5500687" y="297655"/>
          <a:ext cx="2678907" cy="897731"/>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800" b="0" i="1" cap="none" spc="0">
              <a:ln w="0"/>
              <a:solidFill>
                <a:schemeClr val="accent1"/>
              </a:solidFill>
              <a:effectLst>
                <a:outerShdw blurRad="38100" dist="25400" dir="5400000" algn="ctr" rotWithShape="0">
                  <a:srgbClr val="6E747A">
                    <a:alpha val="43000"/>
                  </a:srgbClr>
                </a:outerShdw>
              </a:effectLst>
            </a:rPr>
            <a:t>Total Products</a:t>
          </a:r>
        </a:p>
      </xdr:txBody>
    </xdr:sp>
    <xdr:clientData/>
  </xdr:twoCellAnchor>
  <xdr:twoCellAnchor>
    <xdr:from>
      <xdr:col>14</xdr:col>
      <xdr:colOff>165325</xdr:colOff>
      <xdr:row>1</xdr:row>
      <xdr:rowOff>37758</xdr:rowOff>
    </xdr:from>
    <xdr:to>
      <xdr:col>18</xdr:col>
      <xdr:colOff>500061</xdr:colOff>
      <xdr:row>5</xdr:row>
      <xdr:rowOff>179953</xdr:rowOff>
    </xdr:to>
    <xdr:sp macro="" textlink="KPIs!$D$2">
      <xdr:nvSpPr>
        <xdr:cNvPr id="5" name="Rectangle 4">
          <a:extLst>
            <a:ext uri="{FF2B5EF4-FFF2-40B4-BE49-F238E27FC236}">
              <a16:creationId xmlns:a16="http://schemas.microsoft.com/office/drawing/2014/main" id="{34EEC40C-8688-CF4B-780E-8CAA1AC57FBE}"/>
            </a:ext>
          </a:extLst>
        </xdr:cNvPr>
        <xdr:cNvSpPr/>
      </xdr:nvSpPr>
      <xdr:spPr>
        <a:xfrm>
          <a:off x="8666388" y="299696"/>
          <a:ext cx="2763611" cy="904195"/>
        </a:xfrm>
        <a:prstGeom prst="rect">
          <a:avLst/>
        </a:prstGeom>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A" sz="1600" b="0" i="1" cap="none" spc="0">
              <a:ln w="0"/>
              <a:solidFill>
                <a:schemeClr val="accent1"/>
              </a:solidFill>
              <a:effectLst>
                <a:outerShdw blurRad="38100" dist="25400" dir="5400000" algn="ctr" rotWithShape="0">
                  <a:srgbClr val="6E747A">
                    <a:alpha val="43000"/>
                  </a:srgbClr>
                </a:outerShdw>
              </a:effectLst>
            </a:rPr>
            <a:t>Average</a:t>
          </a:r>
          <a:r>
            <a:rPr lang="en-ZA" sz="1600" b="0" cap="none" spc="0">
              <a:ln w="0"/>
              <a:solidFill>
                <a:schemeClr val="accent1"/>
              </a:solidFill>
              <a:effectLst>
                <a:outerShdw blurRad="38100" dist="25400" dir="5400000" algn="ctr" rotWithShape="0">
                  <a:srgbClr val="6E747A">
                    <a:alpha val="43000"/>
                  </a:srgbClr>
                </a:outerShdw>
              </a:effectLst>
            </a:rPr>
            <a:t> </a:t>
          </a:r>
          <a:r>
            <a:rPr lang="en-ZA" sz="1600" b="0" i="1" cap="none" spc="0">
              <a:ln w="0"/>
              <a:solidFill>
                <a:schemeClr val="accent1"/>
              </a:solidFill>
              <a:effectLst>
                <a:outerShdw blurRad="38100" dist="25400" dir="5400000" algn="ctr" rotWithShape="0">
                  <a:srgbClr val="6E747A">
                    <a:alpha val="43000"/>
                  </a:srgbClr>
                </a:outerShdw>
              </a:effectLst>
            </a:rPr>
            <a:t>Order</a:t>
          </a:r>
          <a:r>
            <a:rPr lang="en-ZA" sz="1600" b="0" cap="none" spc="0">
              <a:ln w="0"/>
              <a:solidFill>
                <a:schemeClr val="accent1"/>
              </a:solidFill>
              <a:effectLst>
                <a:outerShdw blurRad="38100" dist="25400" dir="5400000" algn="ctr" rotWithShape="0">
                  <a:srgbClr val="6E747A">
                    <a:alpha val="43000"/>
                  </a:srgbClr>
                </a:outerShdw>
              </a:effectLst>
            </a:rPr>
            <a:t> </a:t>
          </a:r>
          <a:r>
            <a:rPr lang="en-ZA" sz="1600" b="0" i="1" cap="none" spc="0">
              <a:ln w="0"/>
              <a:solidFill>
                <a:schemeClr val="accent1"/>
              </a:solidFill>
              <a:effectLst>
                <a:outerShdw blurRad="38100" dist="25400" dir="5400000" algn="ctr" rotWithShape="0">
                  <a:srgbClr val="6E747A">
                    <a:alpha val="43000"/>
                  </a:srgbClr>
                </a:outerShdw>
              </a:effectLst>
            </a:rPr>
            <a:t>Value</a:t>
          </a:r>
        </a:p>
      </xdr:txBody>
    </xdr:sp>
    <xdr:clientData/>
  </xdr:twoCellAnchor>
  <xdr:twoCellAnchor>
    <xdr:from>
      <xdr:col>0</xdr:col>
      <xdr:colOff>71437</xdr:colOff>
      <xdr:row>6</xdr:row>
      <xdr:rowOff>97140</xdr:rowOff>
    </xdr:from>
    <xdr:to>
      <xdr:col>6</xdr:col>
      <xdr:colOff>561974</xdr:colOff>
      <xdr:row>21</xdr:row>
      <xdr:rowOff>120952</xdr:rowOff>
    </xdr:to>
    <xdr:graphicFrame macro="">
      <xdr:nvGraphicFramePr>
        <xdr:cNvPr id="6" name="Chart 5">
          <a:extLst>
            <a:ext uri="{FF2B5EF4-FFF2-40B4-BE49-F238E27FC236}">
              <a16:creationId xmlns:a16="http://schemas.microsoft.com/office/drawing/2014/main" id="{D3073DD2-50B3-42F0-8CCD-50315E170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95248</xdr:colOff>
      <xdr:row>6</xdr:row>
      <xdr:rowOff>123825</xdr:rowOff>
    </xdr:from>
    <xdr:to>
      <xdr:col>17</xdr:col>
      <xdr:colOff>191860</xdr:colOff>
      <xdr:row>21</xdr:row>
      <xdr:rowOff>123825</xdr:rowOff>
    </xdr:to>
    <xdr:graphicFrame macro="">
      <xdr:nvGraphicFramePr>
        <xdr:cNvPr id="7" name="Chart 6">
          <a:extLst>
            <a:ext uri="{FF2B5EF4-FFF2-40B4-BE49-F238E27FC236}">
              <a16:creationId xmlns:a16="http://schemas.microsoft.com/office/drawing/2014/main" id="{766F3793-EB36-4D80-B105-292985CBD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304573</xdr:colOff>
      <xdr:row>21</xdr:row>
      <xdr:rowOff>6161</xdr:rowOff>
    </xdr:from>
    <xdr:to>
      <xdr:col>17</xdr:col>
      <xdr:colOff>314097</xdr:colOff>
      <xdr:row>35</xdr:row>
      <xdr:rowOff>82361</xdr:rowOff>
    </xdr:to>
    <xdr:graphicFrame macro="">
      <xdr:nvGraphicFramePr>
        <xdr:cNvPr id="8" name="Chart 7">
          <a:extLst>
            <a:ext uri="{FF2B5EF4-FFF2-40B4-BE49-F238E27FC236}">
              <a16:creationId xmlns:a16="http://schemas.microsoft.com/office/drawing/2014/main" id="{F3F913D8-DE10-42C1-91C0-187754B19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60173</xdr:colOff>
      <xdr:row>20</xdr:row>
      <xdr:rowOff>180447</xdr:rowOff>
    </xdr:from>
    <xdr:to>
      <xdr:col>7</xdr:col>
      <xdr:colOff>467366</xdr:colOff>
      <xdr:row>35</xdr:row>
      <xdr:rowOff>66147</xdr:rowOff>
    </xdr:to>
    <xdr:graphicFrame macro="">
      <xdr:nvGraphicFramePr>
        <xdr:cNvPr id="9" name="Chart 8">
          <a:extLst>
            <a:ext uri="{FF2B5EF4-FFF2-40B4-BE49-F238E27FC236}">
              <a16:creationId xmlns:a16="http://schemas.microsoft.com/office/drawing/2014/main" id="{870DED35-1FF8-46EC-8C44-C0A2AF052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59531</xdr:colOff>
      <xdr:row>3</xdr:row>
      <xdr:rowOff>23811</xdr:rowOff>
    </xdr:from>
    <xdr:to>
      <xdr:col>3</xdr:col>
      <xdr:colOff>357188</xdr:colOff>
      <xdr:row>4</xdr:row>
      <xdr:rowOff>142873</xdr:rowOff>
    </xdr:to>
    <xdr:sp macro="" textlink="KPIs!$A$2">
      <xdr:nvSpPr>
        <xdr:cNvPr id="11" name="TextBox 10">
          <a:extLst>
            <a:ext uri="{FF2B5EF4-FFF2-40B4-BE49-F238E27FC236}">
              <a16:creationId xmlns:a16="http://schemas.microsoft.com/office/drawing/2014/main" id="{76293974-5916-16B0-B206-FD6783640D1A}"/>
            </a:ext>
          </a:extLst>
        </xdr:cNvPr>
        <xdr:cNvSpPr txBox="1"/>
      </xdr:nvSpPr>
      <xdr:spPr>
        <a:xfrm>
          <a:off x="666750" y="666749"/>
          <a:ext cx="1512094" cy="30956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4DDC21-3CB8-4BB9-92CC-E3670047DCE9}" type="TxLink">
            <a:rPr lang="en-US" sz="1600" b="1" i="0" u="none" strike="noStrike">
              <a:solidFill>
                <a:srgbClr val="000000"/>
              </a:solidFill>
              <a:latin typeface="Aptos Narrow"/>
            </a:rPr>
            <a:pPr/>
            <a:t> $32 866 573,74 </a:t>
          </a:fld>
          <a:endParaRPr lang="en-ZA" sz="1600" b="1"/>
        </a:p>
      </xdr:txBody>
    </xdr:sp>
    <xdr:clientData/>
  </xdr:twoCellAnchor>
  <xdr:twoCellAnchor>
    <xdr:from>
      <xdr:col>5</xdr:col>
      <xdr:colOff>107156</xdr:colOff>
      <xdr:row>3</xdr:row>
      <xdr:rowOff>47623</xdr:rowOff>
    </xdr:from>
    <xdr:to>
      <xdr:col>8</xdr:col>
      <xdr:colOff>0</xdr:colOff>
      <xdr:row>4</xdr:row>
      <xdr:rowOff>166686</xdr:rowOff>
    </xdr:to>
    <xdr:sp macro="" textlink="KPIs!$B$2">
      <xdr:nvSpPr>
        <xdr:cNvPr id="12" name="TextBox 11">
          <a:extLst>
            <a:ext uri="{FF2B5EF4-FFF2-40B4-BE49-F238E27FC236}">
              <a16:creationId xmlns:a16="http://schemas.microsoft.com/office/drawing/2014/main" id="{5ACC9897-65D6-31E6-44D3-A5607EB1C331}"/>
            </a:ext>
          </a:extLst>
        </xdr:cNvPr>
        <xdr:cNvSpPr txBox="1"/>
      </xdr:nvSpPr>
      <xdr:spPr>
        <a:xfrm>
          <a:off x="3143250" y="690561"/>
          <a:ext cx="1714500" cy="30956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2D741B-CBDC-4F13-9AC1-2E13D60AE5FC}" type="TxLink">
            <a:rPr lang="en-US" sz="1800" b="1" i="0" u="none" strike="noStrike" cap="none" spc="0">
              <a:ln w="0"/>
              <a:solidFill>
                <a:schemeClr val="tx1"/>
              </a:solidFill>
              <a:effectLst>
                <a:outerShdw blurRad="38100" dist="19050" dir="2700000" algn="tl" rotWithShape="0">
                  <a:schemeClr val="dk1">
                    <a:alpha val="40000"/>
                  </a:schemeClr>
                </a:outerShdw>
              </a:effectLst>
              <a:latin typeface="Aptos Narrow"/>
            </a:rPr>
            <a:pPr algn="ctr"/>
            <a:t>50000</a:t>
          </a:fld>
          <a:endParaRPr lang="en-ZA"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273844</xdr:colOff>
      <xdr:row>3</xdr:row>
      <xdr:rowOff>35717</xdr:rowOff>
    </xdr:from>
    <xdr:to>
      <xdr:col>12</xdr:col>
      <xdr:colOff>11907</xdr:colOff>
      <xdr:row>4</xdr:row>
      <xdr:rowOff>107155</xdr:rowOff>
    </xdr:to>
    <xdr:sp macro="" textlink="KPIs!$C$2">
      <xdr:nvSpPr>
        <xdr:cNvPr id="13" name="TextBox 12">
          <a:extLst>
            <a:ext uri="{FF2B5EF4-FFF2-40B4-BE49-F238E27FC236}">
              <a16:creationId xmlns:a16="http://schemas.microsoft.com/office/drawing/2014/main" id="{3C03FD0B-C9FF-6428-E7B7-3827831CF330}"/>
            </a:ext>
          </a:extLst>
        </xdr:cNvPr>
        <xdr:cNvSpPr txBox="1"/>
      </xdr:nvSpPr>
      <xdr:spPr>
        <a:xfrm>
          <a:off x="6346032" y="678655"/>
          <a:ext cx="952500" cy="26193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C6C5ED-44AC-4387-9E79-39FBE05B723A}" type="TxLink">
            <a:rPr lang="en-US" sz="1800" b="1" i="0" u="none" strike="noStrike">
              <a:solidFill>
                <a:srgbClr val="000000"/>
              </a:solidFill>
              <a:latin typeface="Aptos Narrow"/>
            </a:rPr>
            <a:pPr algn="ctr"/>
            <a:t>4000</a:t>
          </a:fld>
          <a:endParaRPr lang="en-ZA" sz="1800" b="1"/>
        </a:p>
      </xdr:txBody>
    </xdr:sp>
    <xdr:clientData/>
  </xdr:twoCellAnchor>
  <xdr:twoCellAnchor>
    <xdr:from>
      <xdr:col>15</xdr:col>
      <xdr:colOff>321470</xdr:colOff>
      <xdr:row>3</xdr:row>
      <xdr:rowOff>47624</xdr:rowOff>
    </xdr:from>
    <xdr:to>
      <xdr:col>17</xdr:col>
      <xdr:colOff>273844</xdr:colOff>
      <xdr:row>4</xdr:row>
      <xdr:rowOff>178593</xdr:rowOff>
    </xdr:to>
    <xdr:sp macro="" textlink="KPIs!$D$2">
      <xdr:nvSpPr>
        <xdr:cNvPr id="14" name="TextBox 13">
          <a:extLst>
            <a:ext uri="{FF2B5EF4-FFF2-40B4-BE49-F238E27FC236}">
              <a16:creationId xmlns:a16="http://schemas.microsoft.com/office/drawing/2014/main" id="{6DD40B60-1B6E-6191-DD47-18339DBD82AC}"/>
            </a:ext>
          </a:extLst>
        </xdr:cNvPr>
        <xdr:cNvSpPr txBox="1"/>
      </xdr:nvSpPr>
      <xdr:spPr>
        <a:xfrm>
          <a:off x="9429751" y="690562"/>
          <a:ext cx="1166812" cy="32146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9E89F4-DB5D-4D40-81DC-769C5623FE99}" type="TxLink">
            <a:rPr lang="en-US" sz="1800" b="1" i="0" u="none" strike="noStrike">
              <a:solidFill>
                <a:srgbClr val="000000"/>
              </a:solidFill>
              <a:latin typeface="Aptos Narrow"/>
            </a:rPr>
            <a:pPr algn="ctr"/>
            <a:t> $657,33 </a:t>
          </a:fld>
          <a:endParaRPr lang="en-ZA" sz="1800" b="1"/>
        </a:p>
      </xdr:txBody>
    </xdr:sp>
    <xdr:clientData/>
  </xdr:twoCellAnchor>
  <xdr:twoCellAnchor editAs="oneCell">
    <xdr:from>
      <xdr:col>17</xdr:col>
      <xdr:colOff>228600</xdr:colOff>
      <xdr:row>6</xdr:row>
      <xdr:rowOff>121444</xdr:rowOff>
    </xdr:from>
    <xdr:to>
      <xdr:col>20</xdr:col>
      <xdr:colOff>107156</xdr:colOff>
      <xdr:row>17</xdr:row>
      <xdr:rowOff>119063</xdr:rowOff>
    </xdr:to>
    <mc:AlternateContent xmlns:mc="http://schemas.openxmlformats.org/markup-compatibility/2006" xmlns:a14="http://schemas.microsoft.com/office/drawing/2010/main">
      <mc:Choice Requires="a14">
        <xdr:graphicFrame macro="">
          <xdr:nvGraphicFramePr>
            <xdr:cNvPr id="15" name="product_category">
              <a:extLst>
                <a:ext uri="{FF2B5EF4-FFF2-40B4-BE49-F238E27FC236}">
                  <a16:creationId xmlns:a16="http://schemas.microsoft.com/office/drawing/2014/main" id="{98AE64EB-3D6B-5EA5-BC64-4571AA4DD99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551319" y="1526382"/>
              <a:ext cx="1700212" cy="209311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88371</xdr:colOff>
      <xdr:row>5</xdr:row>
      <xdr:rowOff>190235</xdr:rowOff>
    </xdr:from>
    <xdr:to>
      <xdr:col>10</xdr:col>
      <xdr:colOff>95514</xdr:colOff>
      <xdr:row>19</xdr:row>
      <xdr:rowOff>190235</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6292B8C9-F422-1DDA-50BF-4F9FE2E1C7B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338902" y="1404673"/>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185737</xdr:colOff>
      <xdr:row>3</xdr:row>
      <xdr:rowOff>71437</xdr:rowOff>
    </xdr:from>
    <xdr:to>
      <xdr:col>10</xdr:col>
      <xdr:colOff>595312</xdr:colOff>
      <xdr:row>17</xdr:row>
      <xdr:rowOff>147637</xdr:rowOff>
    </xdr:to>
    <xdr:graphicFrame macro="">
      <xdr:nvGraphicFramePr>
        <xdr:cNvPr id="2" name="Chart 1">
          <a:extLst>
            <a:ext uri="{FF2B5EF4-FFF2-40B4-BE49-F238E27FC236}">
              <a16:creationId xmlns:a16="http://schemas.microsoft.com/office/drawing/2014/main" id="{5F8046AC-5238-7047-1554-846AD2C5A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good" refreshedDate="46071.952387384263" createdVersion="8" refreshedVersion="8" minRefreshableVersion="3" recordCount="1" xr:uid="{3D0D1080-2106-41EE-9AE0-C3CDF9AD80C1}">
  <cacheSource type="worksheet">
    <worksheetSource name="KPIs"/>
  </cacheSource>
  <cacheFields count="4">
    <cacheField name="total_revenue" numFmtId="0">
      <sharedItems containsSemiMixedTypes="0" containsString="0" containsNumber="1" minValue="32866573.739999998" maxValue="32866573.739999998"/>
    </cacheField>
    <cacheField name="total_orders" numFmtId="0">
      <sharedItems containsSemiMixedTypes="0" containsString="0" containsNumber="1" containsInteger="1" minValue="50000" maxValue="50000"/>
    </cacheField>
    <cacheField name="total_products" numFmtId="0">
      <sharedItems containsSemiMixedTypes="0" containsString="0" containsNumber="1" containsInteger="1" minValue="4000" maxValue="4000"/>
    </cacheField>
    <cacheField name="avg_order_value" numFmtId="0">
      <sharedItems containsSemiMixedTypes="0" containsString="0" containsNumber="1" minValue="657.33" maxValue="657.3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good" refreshedDate="46071.963564699072" backgroundQuery="1" createdVersion="8" refreshedVersion="8" minRefreshableVersion="3" recordCount="0" supportSubquery="1" supportAdvancedDrill="1" xr:uid="{D415BADC-7F78-4F34-AEAB-0C8A34F1B3F3}">
  <cacheSource type="external" connectionId="6"/>
  <cacheFields count="0"/>
  <cacheHierarchies count="21">
    <cacheHierarchy uniqueName="[Monthly_revenue].[month]" caption="month" attribute="1" defaultMemberUniqueName="[Monthly_revenue].[month].[All]" allUniqueName="[Monthly_revenue].[month].[All]" dimensionUniqueName="[Monthly_revenue]" displayFolder="" count="0" memberValueDatatype="130" unbalanced="0"/>
    <cacheHierarchy uniqueName="[Monthly_revenue].[monthly_revenue]" caption="monthly_revenue" attribute="1" defaultMemberUniqueName="[Monthly_revenue].[monthly_revenue].[All]" allUniqueName="[Monthly_revenue].[monthly_revenue].[All]" dimensionUniqueName="[Monthly_revenue]" displayFolder="" count="0" memberValueDatatype="5" unbalanced="0"/>
    <cacheHierarchy uniqueName="[Payment_Method_Breakdown].[payment_method]" caption="payment_method" attribute="1" defaultMemberUniqueName="[Payment_Method_Breakdown].[payment_method].[All]" allUniqueName="[Payment_Method_Breakdown].[payment_method].[All]" dimensionUniqueName="[Payment_Method_Breakdown]" displayFolder="" count="0" memberValueDatatype="130" unbalanced="0"/>
    <cacheHierarchy uniqueName="[Payment_Method_Breakdown].[orders]" caption="orders" attribute="1" defaultMemberUniqueName="[Payment_Method_Breakdown].[orders].[All]" allUniqueName="[Payment_Method_Breakdown].[orders].[All]" dimensionUniqueName="[Payment_Method_Breakdown]" displayFolder="" count="0" memberValueDatatype="20" unbalanced="0"/>
    <cacheHierarchy uniqueName="[Payment_Method_Breakdown].[revenue]" caption="revenue" attribute="1" defaultMemberUniqueName="[Payment_Method_Breakdown].[revenue].[All]" allUniqueName="[Payment_Method_Breakdown].[revenue].[All]" dimensionUniqueName="[Payment_Method_Breakdown]" displayFolder="" count="0" memberValueDatatype="5" unbalanced="0"/>
    <cacheHierarchy uniqueName="[Rev_category].[product_category]" caption="product_category" attribute="1" defaultMemberUniqueName="[Rev_category].[product_category].[All]" allUniqueName="[Rev_category].[product_category].[All]" dimensionUniqueName="[Rev_category]" displayFolder="" count="2" memberValueDatatype="130" unbalanced="0"/>
    <cacheHierarchy uniqueName="[Rev_category].[revenue]" caption="revenue" attribute="1" defaultMemberUniqueName="[Rev_category].[revenue].[All]" allUniqueName="[Rev_category].[revenue].[All]" dimensionUniqueName="[Rev_category]" displayFolder="" count="0" memberValueDatatype="5" unbalanced="0"/>
    <cacheHierarchy uniqueName="[Rev_region].[customer_region]" caption="customer_region" attribute="1" defaultMemberUniqueName="[Rev_region].[customer_region].[All]" allUniqueName="[Rev_region].[customer_region].[All]" dimensionUniqueName="[Rev_region]" displayFolder="" count="0" memberValueDatatype="130" unbalanced="0"/>
    <cacheHierarchy uniqueName="[Rev_region].[revenue_reg]" caption="revenue_reg" attribute="1" defaultMemberUniqueName="[Rev_region].[revenue_reg].[All]" allUniqueName="[Rev_region].[revenue_reg].[All]" dimensionUniqueName="[Rev_region]" displayFolder="" count="0" memberValueDatatype="5" unbalanced="0"/>
    <cacheHierarchy uniqueName="[Measures].[__XL_Count Monthly_revenue]" caption="__XL_Count Monthly_revenue" measure="1" displayFolder="" measureGroup="Monthly_revenue" count="0" hidden="1"/>
    <cacheHierarchy uniqueName="[Measures].[__XL_Count Rev_category]" caption="__XL_Count Rev_category" measure="1" displayFolder="" measureGroup="Rev_category" count="0" hidden="1"/>
    <cacheHierarchy uniqueName="[Measures].[__XL_Count Rev_region]" caption="__XL_Count Rev_region" measure="1" displayFolder="" measureGroup="Rev_region" count="0" hidden="1"/>
    <cacheHierarchy uniqueName="[Measures].[__XL_Count Payment_Method_Breakdown]" caption="__XL_Count Payment_Method_Breakdown" measure="1" displayFolder="" measureGroup="Payment_Method_Breakdown" count="0" hidden="1"/>
    <cacheHierarchy uniqueName="[Measures].[__No measures defined]" caption="__No measures defined" measure="1" displayFolder="" count="0" hidden="1"/>
    <cacheHierarchy uniqueName="[Measures].[Count of monthly_revenue]" caption="Count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Sum of monthly_revenue]" caption="Sum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Count of revenue]" caption="Count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_reg]" caption="Sum of revenue_reg" measure="1" displayFolder="" measureGroup="Rev_region" count="0" hidden="1">
      <extLst>
        <ext xmlns:x15="http://schemas.microsoft.com/office/spreadsheetml/2010/11/main" uri="{B97F6D7D-B522-45F9-BDA1-12C45D357490}">
          <x15:cacheHierarchy aggregatedColumn="8"/>
        </ext>
      </extLst>
    </cacheHierarchy>
    <cacheHierarchy uniqueName="[Measures].[Sum of orders]" caption="Sum of orders" measure="1" displayFolder="" measureGroup="Payment_Method_Breakdown"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Payment_Method_Breakdown"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Monthly_revenue" uniqueName="[Monthly_revenue]" caption="Monthly_revenue"/>
    <dimension name="Payment_Method_Breakdown" uniqueName="[Payment_Method_Breakdown]" caption="Payment_Method_Breakdown"/>
    <dimension name="Rev_category" uniqueName="[Rev_category]" caption="Rev_category"/>
    <dimension name="Rev_region" uniqueName="[Rev_region]" caption="Rev_region"/>
  </dimensions>
  <measureGroups count="4">
    <measureGroup name="Monthly_revenue" caption="Monthly_revenue"/>
    <measureGroup name="Payment_Method_Breakdown" caption="Payment_Method_Breakdown"/>
    <measureGroup name="Rev_category" caption="Rev_category"/>
    <measureGroup name="Rev_region" caption="Rev_region"/>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good" refreshedDate="46071.963565972219" backgroundQuery="1" createdVersion="8" refreshedVersion="8" minRefreshableVersion="3" recordCount="0" supportSubquery="1" supportAdvancedDrill="1" xr:uid="{42070576-3DAA-4360-BA22-264107CE9D12}">
  <cacheSource type="external" connectionId="6"/>
  <cacheFields count="3">
    <cacheField name="[Payment_Method_Breakdown].[payment_method].[payment_method]" caption="payment_method" numFmtId="0" hierarchy="2" level="1">
      <sharedItems count="5">
        <s v="Cash on Delivery"/>
        <s v="Credit Card"/>
        <s v="Debit Card"/>
        <s v="UPI"/>
        <s v="Wallet"/>
      </sharedItems>
    </cacheField>
    <cacheField name="[Measures].[Sum of orders]" caption="Sum of orders" numFmtId="0" hierarchy="19" level="32767"/>
    <cacheField name="[Measures].[Sum of revenue 2]" caption="Sum of revenue 2" numFmtId="0" hierarchy="20" level="32767"/>
  </cacheFields>
  <cacheHierarchies count="21">
    <cacheHierarchy uniqueName="[Monthly_revenue].[month]" caption="month" attribute="1" defaultMemberUniqueName="[Monthly_revenue].[month].[All]" allUniqueName="[Monthly_revenue].[month].[All]" dimensionUniqueName="[Monthly_revenue]" displayFolder="" count="0" memberValueDatatype="130" unbalanced="0"/>
    <cacheHierarchy uniqueName="[Monthly_revenue].[monthly_revenue]" caption="monthly_revenue" attribute="1" defaultMemberUniqueName="[Monthly_revenue].[monthly_revenue].[All]" allUniqueName="[Monthly_revenue].[monthly_revenue].[All]" dimensionUniqueName="[Monthly_revenue]" displayFolder="" count="0" memberValueDatatype="5" unbalanced="0"/>
    <cacheHierarchy uniqueName="[Payment_Method_Breakdown].[payment_method]" caption="payment_method" attribute="1" defaultMemberUniqueName="[Payment_Method_Breakdown].[payment_method].[All]" allUniqueName="[Payment_Method_Breakdown].[payment_method].[All]" dimensionUniqueName="[Payment_Method_Breakdown]" displayFolder="" count="2" memberValueDatatype="130" unbalanced="0">
      <fieldsUsage count="2">
        <fieldUsage x="-1"/>
        <fieldUsage x="0"/>
      </fieldsUsage>
    </cacheHierarchy>
    <cacheHierarchy uniqueName="[Payment_Method_Breakdown].[orders]" caption="orders" attribute="1" defaultMemberUniqueName="[Payment_Method_Breakdown].[orders].[All]" allUniqueName="[Payment_Method_Breakdown].[orders].[All]" dimensionUniqueName="[Payment_Method_Breakdown]" displayFolder="" count="0" memberValueDatatype="20" unbalanced="0"/>
    <cacheHierarchy uniqueName="[Payment_Method_Breakdown].[revenue]" caption="revenue" attribute="1" defaultMemberUniqueName="[Payment_Method_Breakdown].[revenue].[All]" allUniqueName="[Payment_Method_Breakdown].[revenue].[All]" dimensionUniqueName="[Payment_Method_Breakdown]" displayFolder="" count="0" memberValueDatatype="5" unbalanced="0"/>
    <cacheHierarchy uniqueName="[Rev_category].[product_category]" caption="product_category" attribute="1" defaultMemberUniqueName="[Rev_category].[product_category].[All]" allUniqueName="[Rev_category].[product_category].[All]" dimensionUniqueName="[Rev_category]" displayFolder="" count="2" memberValueDatatype="130" unbalanced="0"/>
    <cacheHierarchy uniqueName="[Rev_category].[revenue]" caption="revenue" attribute="1" defaultMemberUniqueName="[Rev_category].[revenue].[All]" allUniqueName="[Rev_category].[revenue].[All]" dimensionUniqueName="[Rev_category]" displayFolder="" count="0" memberValueDatatype="5" unbalanced="0"/>
    <cacheHierarchy uniqueName="[Rev_region].[customer_region]" caption="customer_region" attribute="1" defaultMemberUniqueName="[Rev_region].[customer_region].[All]" allUniqueName="[Rev_region].[customer_region].[All]" dimensionUniqueName="[Rev_region]" displayFolder="" count="0" memberValueDatatype="130" unbalanced="0"/>
    <cacheHierarchy uniqueName="[Rev_region].[revenue_reg]" caption="revenue_reg" attribute="1" defaultMemberUniqueName="[Rev_region].[revenue_reg].[All]" allUniqueName="[Rev_region].[revenue_reg].[All]" dimensionUniqueName="[Rev_region]" displayFolder="" count="0" memberValueDatatype="5" unbalanced="0"/>
    <cacheHierarchy uniqueName="[Measures].[__XL_Count Monthly_revenue]" caption="__XL_Count Monthly_revenue" measure="1" displayFolder="" measureGroup="Monthly_revenue" count="0" hidden="1"/>
    <cacheHierarchy uniqueName="[Measures].[__XL_Count Rev_category]" caption="__XL_Count Rev_category" measure="1" displayFolder="" measureGroup="Rev_category" count="0" hidden="1"/>
    <cacheHierarchy uniqueName="[Measures].[__XL_Count Rev_region]" caption="__XL_Count Rev_region" measure="1" displayFolder="" measureGroup="Rev_region" count="0" hidden="1"/>
    <cacheHierarchy uniqueName="[Measures].[__XL_Count Payment_Method_Breakdown]" caption="__XL_Count Payment_Method_Breakdown" measure="1" displayFolder="" measureGroup="Payment_Method_Breakdown" count="0" hidden="1"/>
    <cacheHierarchy uniqueName="[Measures].[__No measures defined]" caption="__No measures defined" measure="1" displayFolder="" count="0" hidden="1"/>
    <cacheHierarchy uniqueName="[Measures].[Count of monthly_revenue]" caption="Count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Sum of monthly_revenue]" caption="Sum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Count of revenue]" caption="Count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_reg]" caption="Sum of revenue_reg" measure="1" displayFolder="" measureGroup="Rev_region" count="0" hidden="1">
      <extLst>
        <ext xmlns:x15="http://schemas.microsoft.com/office/spreadsheetml/2010/11/main" uri="{B97F6D7D-B522-45F9-BDA1-12C45D357490}">
          <x15:cacheHierarchy aggregatedColumn="8"/>
        </ext>
      </extLst>
    </cacheHierarchy>
    <cacheHierarchy uniqueName="[Measures].[Sum of orders]" caption="Sum of orders" measure="1" displayFolder="" measureGroup="Payment_Method_Breakdown"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Payment_Method_Breakdown"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Monthly_revenue" uniqueName="[Monthly_revenue]" caption="Monthly_revenue"/>
    <dimension name="Payment_Method_Breakdown" uniqueName="[Payment_Method_Breakdown]" caption="Payment_Method_Breakdown"/>
    <dimension name="Rev_category" uniqueName="[Rev_category]" caption="Rev_category"/>
    <dimension name="Rev_region" uniqueName="[Rev_region]" caption="Rev_region"/>
  </dimensions>
  <measureGroups count="4">
    <measureGroup name="Monthly_revenue" caption="Monthly_revenue"/>
    <measureGroup name="Payment_Method_Breakdown" caption="Payment_Method_Breakdown"/>
    <measureGroup name="Rev_category" caption="Rev_category"/>
    <measureGroup name="Rev_region" caption="Rev_region"/>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good" refreshedDate="46071.963567013889" backgroundQuery="1" createdVersion="8" refreshedVersion="8" minRefreshableVersion="3" recordCount="0" supportSubquery="1" supportAdvancedDrill="1" xr:uid="{B5D35342-9CA8-43EF-B18F-DFB61090B5F0}">
  <cacheSource type="external" connectionId="6"/>
  <cacheFields count="2">
    <cacheField name="[Rev_region].[customer_region].[customer_region]" caption="customer_region" numFmtId="0" hierarchy="7" level="1">
      <sharedItems count="4">
        <s v="Asia"/>
        <s v="Europe"/>
        <s v="Middle East"/>
        <s v="North America"/>
      </sharedItems>
    </cacheField>
    <cacheField name="[Measures].[Sum of revenue_reg]" caption="Sum of revenue_reg" numFmtId="0" hierarchy="18" level="32767"/>
  </cacheFields>
  <cacheHierarchies count="21">
    <cacheHierarchy uniqueName="[Monthly_revenue].[month]" caption="month" attribute="1" defaultMemberUniqueName="[Monthly_revenue].[month].[All]" allUniqueName="[Monthly_revenue].[month].[All]" dimensionUniqueName="[Monthly_revenue]" displayFolder="" count="0" memberValueDatatype="130" unbalanced="0"/>
    <cacheHierarchy uniqueName="[Monthly_revenue].[monthly_revenue]" caption="monthly_revenue" attribute="1" defaultMemberUniqueName="[Monthly_revenue].[monthly_revenue].[All]" allUniqueName="[Monthly_revenue].[monthly_revenue].[All]" dimensionUniqueName="[Monthly_revenue]" displayFolder="" count="0" memberValueDatatype="5" unbalanced="0"/>
    <cacheHierarchy uniqueName="[Payment_Method_Breakdown].[payment_method]" caption="payment_method" attribute="1" defaultMemberUniqueName="[Payment_Method_Breakdown].[payment_method].[All]" allUniqueName="[Payment_Method_Breakdown].[payment_method].[All]" dimensionUniqueName="[Payment_Method_Breakdown]" displayFolder="" count="0" memberValueDatatype="130" unbalanced="0"/>
    <cacheHierarchy uniqueName="[Payment_Method_Breakdown].[orders]" caption="orders" attribute="1" defaultMemberUniqueName="[Payment_Method_Breakdown].[orders].[All]" allUniqueName="[Payment_Method_Breakdown].[orders].[All]" dimensionUniqueName="[Payment_Method_Breakdown]" displayFolder="" count="0" memberValueDatatype="20" unbalanced="0"/>
    <cacheHierarchy uniqueName="[Payment_Method_Breakdown].[revenue]" caption="revenue" attribute="1" defaultMemberUniqueName="[Payment_Method_Breakdown].[revenue].[All]" allUniqueName="[Payment_Method_Breakdown].[revenue].[All]" dimensionUniqueName="[Payment_Method_Breakdown]" displayFolder="" count="0" memberValueDatatype="5" unbalanced="0"/>
    <cacheHierarchy uniqueName="[Rev_category].[product_category]" caption="product_category" attribute="1" defaultMemberUniqueName="[Rev_category].[product_category].[All]" allUniqueName="[Rev_category].[product_category].[All]" dimensionUniqueName="[Rev_category]" displayFolder="" count="2" memberValueDatatype="130" unbalanced="0"/>
    <cacheHierarchy uniqueName="[Rev_category].[revenue]" caption="revenue" attribute="1" defaultMemberUniqueName="[Rev_category].[revenue].[All]" allUniqueName="[Rev_category].[revenue].[All]" dimensionUniqueName="[Rev_category]" displayFolder="" count="0" memberValueDatatype="5" unbalanced="0"/>
    <cacheHierarchy uniqueName="[Rev_region].[customer_region]" caption="customer_region" attribute="1" defaultMemberUniqueName="[Rev_region].[customer_region].[All]" allUniqueName="[Rev_region].[customer_region].[All]" dimensionUniqueName="[Rev_region]" displayFolder="" count="2" memberValueDatatype="130" unbalanced="0">
      <fieldsUsage count="2">
        <fieldUsage x="-1"/>
        <fieldUsage x="0"/>
      </fieldsUsage>
    </cacheHierarchy>
    <cacheHierarchy uniqueName="[Rev_region].[revenue_reg]" caption="revenue_reg" attribute="1" defaultMemberUniqueName="[Rev_region].[revenue_reg].[All]" allUniqueName="[Rev_region].[revenue_reg].[All]" dimensionUniqueName="[Rev_region]" displayFolder="" count="0" memberValueDatatype="5" unbalanced="0"/>
    <cacheHierarchy uniqueName="[Measures].[__XL_Count Monthly_revenue]" caption="__XL_Count Monthly_revenue" measure="1" displayFolder="" measureGroup="Monthly_revenue" count="0" hidden="1"/>
    <cacheHierarchy uniqueName="[Measures].[__XL_Count Rev_category]" caption="__XL_Count Rev_category" measure="1" displayFolder="" measureGroup="Rev_category" count="0" hidden="1"/>
    <cacheHierarchy uniqueName="[Measures].[__XL_Count Rev_region]" caption="__XL_Count Rev_region" measure="1" displayFolder="" measureGroup="Rev_region" count="0" hidden="1"/>
    <cacheHierarchy uniqueName="[Measures].[__XL_Count Payment_Method_Breakdown]" caption="__XL_Count Payment_Method_Breakdown" measure="1" displayFolder="" measureGroup="Payment_Method_Breakdown" count="0" hidden="1"/>
    <cacheHierarchy uniqueName="[Measures].[__No measures defined]" caption="__No measures defined" measure="1" displayFolder="" count="0" hidden="1"/>
    <cacheHierarchy uniqueName="[Measures].[Count of monthly_revenue]" caption="Count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Sum of monthly_revenue]" caption="Sum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Count of revenue]" caption="Count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_reg]" caption="Sum of revenue_reg" measure="1" displayFolder="" measureGroup="Rev_region"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rders]" caption="Sum of orders" measure="1" displayFolder="" measureGroup="Payment_Method_Breakdown"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Payment_Method_Breakdown"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Monthly_revenue" uniqueName="[Monthly_revenue]" caption="Monthly_revenue"/>
    <dimension name="Payment_Method_Breakdown" uniqueName="[Payment_Method_Breakdown]" caption="Payment_Method_Breakdown"/>
    <dimension name="Rev_category" uniqueName="[Rev_category]" caption="Rev_category"/>
    <dimension name="Rev_region" uniqueName="[Rev_region]" caption="Rev_region"/>
  </dimensions>
  <measureGroups count="4">
    <measureGroup name="Monthly_revenue" caption="Monthly_revenue"/>
    <measureGroup name="Payment_Method_Breakdown" caption="Payment_Method_Breakdown"/>
    <measureGroup name="Rev_category" caption="Rev_category"/>
    <measureGroup name="Rev_region" caption="Rev_region"/>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good" refreshedDate="46071.983206712961" backgroundQuery="1" createdVersion="8" refreshedVersion="8" minRefreshableVersion="3" recordCount="0" supportSubquery="1" supportAdvancedDrill="1" xr:uid="{320F0AD0-D339-4DEE-A7C4-44F4A2C3E941}">
  <cacheSource type="external" connectionId="6"/>
  <cacheFields count="2">
    <cacheField name="[Rev_category].[product_category].[product_category]" caption="product_category" numFmtId="0" hierarchy="5" level="1">
      <sharedItems count="6">
        <s v="Beauty"/>
        <s v="Books"/>
        <s v="Electronics"/>
        <s v="Fashion"/>
        <s v="Home &amp; Kitchen"/>
        <s v="Sports"/>
      </sharedItems>
    </cacheField>
    <cacheField name="[Measures].[Sum of revenue]" caption="Sum of revenue" numFmtId="0" hierarchy="17" level="32767"/>
  </cacheFields>
  <cacheHierarchies count="21">
    <cacheHierarchy uniqueName="[Monthly_revenue].[month]" caption="month" attribute="1" defaultMemberUniqueName="[Monthly_revenue].[month].[All]" allUniqueName="[Monthly_revenue].[month].[All]" dimensionUniqueName="[Monthly_revenue]" displayFolder="" count="2" memberValueDatatype="130" unbalanced="0"/>
    <cacheHierarchy uniqueName="[Monthly_revenue].[monthly_revenue]" caption="monthly_revenue" attribute="1" defaultMemberUniqueName="[Monthly_revenue].[monthly_revenue].[All]" allUniqueName="[Monthly_revenue].[monthly_revenue].[All]" dimensionUniqueName="[Monthly_revenue]" displayFolder="" count="2" memberValueDatatype="5" unbalanced="0"/>
    <cacheHierarchy uniqueName="[Payment_Method_Breakdown].[payment_method]" caption="payment_method" attribute="1" defaultMemberUniqueName="[Payment_Method_Breakdown].[payment_method].[All]" allUniqueName="[Payment_Method_Breakdown].[payment_method].[All]" dimensionUniqueName="[Payment_Method_Breakdown]" displayFolder="" count="2" memberValueDatatype="130" unbalanced="0"/>
    <cacheHierarchy uniqueName="[Payment_Method_Breakdown].[orders]" caption="orders" attribute="1" defaultMemberUniqueName="[Payment_Method_Breakdown].[orders].[All]" allUniqueName="[Payment_Method_Breakdown].[orders].[All]" dimensionUniqueName="[Payment_Method_Breakdown]" displayFolder="" count="2" memberValueDatatype="20" unbalanced="0"/>
    <cacheHierarchy uniqueName="[Payment_Method_Breakdown].[revenue]" caption="revenue" attribute="1" defaultMemberUniqueName="[Payment_Method_Breakdown].[revenue].[All]" allUniqueName="[Payment_Method_Breakdown].[revenue].[All]" dimensionUniqueName="[Payment_Method_Breakdown]" displayFolder="" count="2" memberValueDatatype="5" unbalanced="0"/>
    <cacheHierarchy uniqueName="[Rev_category].[product_category]" caption="product_category" attribute="1" defaultMemberUniqueName="[Rev_category].[product_category].[All]" allUniqueName="[Rev_category].[product_category].[All]" dimensionUniqueName="[Rev_category]" displayFolder="" count="2" memberValueDatatype="130" unbalanced="0">
      <fieldsUsage count="2">
        <fieldUsage x="-1"/>
        <fieldUsage x="0"/>
      </fieldsUsage>
    </cacheHierarchy>
    <cacheHierarchy uniqueName="[Rev_category].[revenue]" caption="revenue" attribute="1" defaultMemberUniqueName="[Rev_category].[revenue].[All]" allUniqueName="[Rev_category].[revenue].[All]" dimensionUniqueName="[Rev_category]" displayFolder="" count="2" memberValueDatatype="5" unbalanced="0"/>
    <cacheHierarchy uniqueName="[Rev_region].[customer_region]" caption="customer_region" attribute="1" defaultMemberUniqueName="[Rev_region].[customer_region].[All]" allUniqueName="[Rev_region].[customer_region].[All]" dimensionUniqueName="[Rev_region]" displayFolder="" count="2" memberValueDatatype="130" unbalanced="0"/>
    <cacheHierarchy uniqueName="[Rev_region].[revenue_reg]" caption="revenue_reg" attribute="1" defaultMemberUniqueName="[Rev_region].[revenue_reg].[All]" allUniqueName="[Rev_region].[revenue_reg].[All]" dimensionUniqueName="[Rev_region]" displayFolder="" count="2" memberValueDatatype="5" unbalanced="0"/>
    <cacheHierarchy uniqueName="[Measures].[__XL_Count Monthly_revenue]" caption="__XL_Count Monthly_revenue" measure="1" displayFolder="" measureGroup="Monthly_revenue" count="0" hidden="1"/>
    <cacheHierarchy uniqueName="[Measures].[__XL_Count Rev_category]" caption="__XL_Count Rev_category" measure="1" displayFolder="" measureGroup="Rev_category" count="0" hidden="1"/>
    <cacheHierarchy uniqueName="[Measures].[__XL_Count Rev_region]" caption="__XL_Count Rev_region" measure="1" displayFolder="" measureGroup="Rev_region" count="0" hidden="1"/>
    <cacheHierarchy uniqueName="[Measures].[__XL_Count Payment_Method_Breakdown]" caption="__XL_Count Payment_Method_Breakdown" measure="1" displayFolder="" measureGroup="Payment_Method_Breakdown" count="0" hidden="1"/>
    <cacheHierarchy uniqueName="[Measures].[__No measures defined]" caption="__No measures defined" measure="1" displayFolder="" count="0" hidden="1"/>
    <cacheHierarchy uniqueName="[Measures].[Count of monthly_revenue]" caption="Count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Sum of monthly_revenue]" caption="Sum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Count of revenue]" caption="Count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Rev_category"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revenue_reg]" caption="Sum of revenue_reg" measure="1" displayFolder="" measureGroup="Rev_region" count="0" hidden="1">
      <extLst>
        <ext xmlns:x15="http://schemas.microsoft.com/office/spreadsheetml/2010/11/main" uri="{B97F6D7D-B522-45F9-BDA1-12C45D357490}">
          <x15:cacheHierarchy aggregatedColumn="8"/>
        </ext>
      </extLst>
    </cacheHierarchy>
    <cacheHierarchy uniqueName="[Measures].[Sum of orders]" caption="Sum of orders" measure="1" displayFolder="" measureGroup="Payment_Method_Breakdown"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Payment_Method_Breakdown"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Monthly_revenue" uniqueName="[Monthly_revenue]" caption="Monthly_revenue"/>
    <dimension name="Payment_Method_Breakdown" uniqueName="[Payment_Method_Breakdown]" caption="Payment_Method_Breakdown"/>
    <dimension name="Rev_category" uniqueName="[Rev_category]" caption="Rev_category"/>
    <dimension name="Rev_region" uniqueName="[Rev_region]" caption="Rev_region"/>
  </dimensions>
  <measureGroups count="4">
    <measureGroup name="Monthly_revenue" caption="Monthly_revenue"/>
    <measureGroup name="Payment_Method_Breakdown" caption="Payment_Method_Breakdown"/>
    <measureGroup name="Rev_category" caption="Rev_category"/>
    <measureGroup name="Rev_region" caption="Rev_region"/>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good" refreshedDate="46071.983616550926" backgroundQuery="1" createdVersion="8" refreshedVersion="8" minRefreshableVersion="3" recordCount="0" supportSubquery="1" supportAdvancedDrill="1" xr:uid="{82A8AD50-671A-4A0E-9ADC-FB7842545665}">
  <cacheSource type="external" connectionId="6"/>
  <cacheFields count="2">
    <cacheField name="[Monthly_revenue].[month].[month]" caption="month" numFmtId="0" level="1">
      <sharedItems count="12">
        <s v="April"/>
        <s v="August"/>
        <s v="December"/>
        <s v="February"/>
        <s v="January"/>
        <s v="July"/>
        <s v="June"/>
        <s v="March"/>
        <s v="May"/>
        <s v="November"/>
        <s v="October"/>
        <s v="September"/>
      </sharedItems>
    </cacheField>
    <cacheField name="[Measures].[Sum of monthly_revenue]" caption="Sum of monthly_revenue" numFmtId="0" hierarchy="15" level="32767"/>
  </cacheFields>
  <cacheHierarchies count="21">
    <cacheHierarchy uniqueName="[Monthly_revenue].[month]" caption="month" attribute="1" defaultMemberUniqueName="[Monthly_revenue].[month].[All]" allUniqueName="[Monthly_revenue].[month].[All]" dimensionUniqueName="[Monthly_revenue]" displayFolder="" count="2" memberValueDatatype="130" unbalanced="0">
      <fieldsUsage count="2">
        <fieldUsage x="-1"/>
        <fieldUsage x="0"/>
      </fieldsUsage>
    </cacheHierarchy>
    <cacheHierarchy uniqueName="[Monthly_revenue].[monthly_revenue]" caption="monthly_revenue" attribute="1" defaultMemberUniqueName="[Monthly_revenue].[monthly_revenue].[All]" allUniqueName="[Monthly_revenue].[monthly_revenue].[All]" dimensionUniqueName="[Monthly_revenue]" displayFolder="" count="2" memberValueDatatype="5" unbalanced="0"/>
    <cacheHierarchy uniqueName="[Payment_Method_Breakdown].[payment_method]" caption="payment_method" attribute="1" defaultMemberUniqueName="[Payment_Method_Breakdown].[payment_method].[All]" allUniqueName="[Payment_Method_Breakdown].[payment_method].[All]" dimensionUniqueName="[Payment_Method_Breakdown]" displayFolder="" count="2" memberValueDatatype="130" unbalanced="0"/>
    <cacheHierarchy uniqueName="[Payment_Method_Breakdown].[orders]" caption="orders" attribute="1" defaultMemberUniqueName="[Payment_Method_Breakdown].[orders].[All]" allUniqueName="[Payment_Method_Breakdown].[orders].[All]" dimensionUniqueName="[Payment_Method_Breakdown]" displayFolder="" count="2" memberValueDatatype="20" unbalanced="0"/>
    <cacheHierarchy uniqueName="[Payment_Method_Breakdown].[revenue]" caption="revenue" attribute="1" defaultMemberUniqueName="[Payment_Method_Breakdown].[revenue].[All]" allUniqueName="[Payment_Method_Breakdown].[revenue].[All]" dimensionUniqueName="[Payment_Method_Breakdown]" displayFolder="" count="2" memberValueDatatype="5" unbalanced="0"/>
    <cacheHierarchy uniqueName="[Rev_category].[product_category]" caption="product_category" attribute="1" defaultMemberUniqueName="[Rev_category].[product_category].[All]" allUniqueName="[Rev_category].[product_category].[All]" dimensionUniqueName="[Rev_category]" displayFolder="" count="2" memberValueDatatype="130" unbalanced="0"/>
    <cacheHierarchy uniqueName="[Rev_category].[revenue]" caption="revenue" attribute="1" defaultMemberUniqueName="[Rev_category].[revenue].[All]" allUniqueName="[Rev_category].[revenue].[All]" dimensionUniqueName="[Rev_category]" displayFolder="" count="2" memberValueDatatype="5" unbalanced="0"/>
    <cacheHierarchy uniqueName="[Rev_region].[customer_region]" caption="customer_region" attribute="1" defaultMemberUniqueName="[Rev_region].[customer_region].[All]" allUniqueName="[Rev_region].[customer_region].[All]" dimensionUniqueName="[Rev_region]" displayFolder="" count="2" memberValueDatatype="130" unbalanced="0"/>
    <cacheHierarchy uniqueName="[Rev_region].[revenue_reg]" caption="revenue_reg" attribute="1" defaultMemberUniqueName="[Rev_region].[revenue_reg].[All]" allUniqueName="[Rev_region].[revenue_reg].[All]" dimensionUniqueName="[Rev_region]" displayFolder="" count="2" memberValueDatatype="5" unbalanced="0"/>
    <cacheHierarchy uniqueName="[Measures].[__XL_Count Monthly_revenue]" caption="__XL_Count Monthly_revenue" measure="1" displayFolder="" measureGroup="Monthly_revenue" count="0" hidden="1"/>
    <cacheHierarchy uniqueName="[Measures].[__XL_Count Rev_category]" caption="__XL_Count Rev_category" measure="1" displayFolder="" measureGroup="Rev_category" count="0" hidden="1"/>
    <cacheHierarchy uniqueName="[Measures].[__XL_Count Rev_region]" caption="__XL_Count Rev_region" measure="1" displayFolder="" measureGroup="Rev_region" count="0" hidden="1"/>
    <cacheHierarchy uniqueName="[Measures].[__XL_Count Payment_Method_Breakdown]" caption="__XL_Count Payment_Method_Breakdown" measure="1" displayFolder="" measureGroup="Payment_Method_Breakdown" count="0" hidden="1"/>
    <cacheHierarchy uniqueName="[Measures].[__No measures defined]" caption="__No measures defined" measure="1" displayFolder="" count="0" hidden="1"/>
    <cacheHierarchy uniqueName="[Measures].[Count of monthly_revenue]" caption="Count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Sum of monthly_revenue]" caption="Sum of monthly_revenue" measure="1" displayFolder="" measureGroup="Monthly_revenu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evenue]" caption="Count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_reg]" caption="Sum of revenue_reg" measure="1" displayFolder="" measureGroup="Rev_region" count="0" hidden="1">
      <extLst>
        <ext xmlns:x15="http://schemas.microsoft.com/office/spreadsheetml/2010/11/main" uri="{B97F6D7D-B522-45F9-BDA1-12C45D357490}">
          <x15:cacheHierarchy aggregatedColumn="8"/>
        </ext>
      </extLst>
    </cacheHierarchy>
    <cacheHierarchy uniqueName="[Measures].[Sum of orders]" caption="Sum of orders" measure="1" displayFolder="" measureGroup="Payment_Method_Breakdown"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Payment_Method_Breakdown"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Monthly_revenue" uniqueName="[Monthly_revenue]" caption="Monthly_revenue"/>
    <dimension name="Payment_Method_Breakdown" uniqueName="[Payment_Method_Breakdown]" caption="Payment_Method_Breakdown"/>
    <dimension name="Rev_category" uniqueName="[Rev_category]" caption="Rev_category"/>
    <dimension name="Rev_region" uniqueName="[Rev_region]" caption="Rev_region"/>
  </dimensions>
  <measureGroups count="4">
    <measureGroup name="Monthly_revenue" caption="Monthly_revenue"/>
    <measureGroup name="Payment_Method_Breakdown" caption="Payment_Method_Breakdown"/>
    <measureGroup name="Rev_category" caption="Rev_category"/>
    <measureGroup name="Rev_region" caption="Rev_region"/>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good" refreshedDate="46071.982912500003" backgroundQuery="1" createdVersion="3" refreshedVersion="8" minRefreshableVersion="3" recordCount="0" supportSubquery="1" supportAdvancedDrill="1" xr:uid="{90C22914-EF64-4770-A6C9-A3D89A20C753}">
  <cacheSource type="external" connectionId="6">
    <extLst>
      <ext xmlns:x14="http://schemas.microsoft.com/office/spreadsheetml/2009/9/main" uri="{F057638F-6D5F-4e77-A914-E7F072B9BCA8}">
        <x14:sourceConnection name="ThisWorkbookDataModel"/>
      </ext>
    </extLst>
  </cacheSource>
  <cacheFields count="0"/>
  <cacheHierarchies count="21">
    <cacheHierarchy uniqueName="[Monthly_revenue].[month]" caption="month" attribute="1" defaultMemberUniqueName="[Monthly_revenue].[month].[All]" allUniqueName="[Monthly_revenue].[month].[All]" dimensionUniqueName="[Monthly_revenue]" displayFolder="" count="2" memberValueDatatype="130" unbalanced="0"/>
    <cacheHierarchy uniqueName="[Monthly_revenue].[monthly_revenue]" caption="monthly_revenue" attribute="1" defaultMemberUniqueName="[Monthly_revenue].[monthly_revenue].[All]" allUniqueName="[Monthly_revenue].[monthly_revenue].[All]" dimensionUniqueName="[Monthly_revenue]" displayFolder="" count="0" memberValueDatatype="5" unbalanced="0"/>
    <cacheHierarchy uniqueName="[Payment_Method_Breakdown].[payment_method]" caption="payment_method" attribute="1" defaultMemberUniqueName="[Payment_Method_Breakdown].[payment_method].[All]" allUniqueName="[Payment_Method_Breakdown].[payment_method].[All]" dimensionUniqueName="[Payment_Method_Breakdown]" displayFolder="" count="0" memberValueDatatype="130" unbalanced="0"/>
    <cacheHierarchy uniqueName="[Payment_Method_Breakdown].[orders]" caption="orders" attribute="1" defaultMemberUniqueName="[Payment_Method_Breakdown].[orders].[All]" allUniqueName="[Payment_Method_Breakdown].[orders].[All]" dimensionUniqueName="[Payment_Method_Breakdown]" displayFolder="" count="0" memberValueDatatype="20" unbalanced="0"/>
    <cacheHierarchy uniqueName="[Payment_Method_Breakdown].[revenue]" caption="revenue" attribute="1" defaultMemberUniqueName="[Payment_Method_Breakdown].[revenue].[All]" allUniqueName="[Payment_Method_Breakdown].[revenue].[All]" dimensionUniqueName="[Payment_Method_Breakdown]" displayFolder="" count="0" memberValueDatatype="5" unbalanced="0"/>
    <cacheHierarchy uniqueName="[Rev_category].[product_category]" caption="product_category" attribute="1" defaultMemberUniqueName="[Rev_category].[product_category].[All]" allUniqueName="[Rev_category].[product_category].[All]" dimensionUniqueName="[Rev_category]" displayFolder="" count="2" memberValueDatatype="130" unbalanced="0"/>
    <cacheHierarchy uniqueName="[Rev_category].[revenue]" caption="revenue" attribute="1" defaultMemberUniqueName="[Rev_category].[revenue].[All]" allUniqueName="[Rev_category].[revenue].[All]" dimensionUniqueName="[Rev_category]" displayFolder="" count="0" memberValueDatatype="5" unbalanced="0"/>
    <cacheHierarchy uniqueName="[Rev_region].[customer_region]" caption="customer_region" attribute="1" defaultMemberUniqueName="[Rev_region].[customer_region].[All]" allUniqueName="[Rev_region].[customer_region].[All]" dimensionUniqueName="[Rev_region]" displayFolder="" count="0" memberValueDatatype="130" unbalanced="0"/>
    <cacheHierarchy uniqueName="[Rev_region].[revenue_reg]" caption="revenue_reg" attribute="1" defaultMemberUniqueName="[Rev_region].[revenue_reg].[All]" allUniqueName="[Rev_region].[revenue_reg].[All]" dimensionUniqueName="[Rev_region]" displayFolder="" count="0" memberValueDatatype="5" unbalanced="0"/>
    <cacheHierarchy uniqueName="[Measures].[__XL_Count Monthly_revenue]" caption="__XL_Count Monthly_revenue" measure="1" displayFolder="" measureGroup="Monthly_revenue" count="0" hidden="1"/>
    <cacheHierarchy uniqueName="[Measures].[__XL_Count Rev_category]" caption="__XL_Count Rev_category" measure="1" displayFolder="" measureGroup="Rev_category" count="0" hidden="1"/>
    <cacheHierarchy uniqueName="[Measures].[__XL_Count Rev_region]" caption="__XL_Count Rev_region" measure="1" displayFolder="" measureGroup="Rev_region" count="0" hidden="1"/>
    <cacheHierarchy uniqueName="[Measures].[__XL_Count Payment_Method_Breakdown]" caption="__XL_Count Payment_Method_Breakdown" measure="1" displayFolder="" measureGroup="Payment_Method_Breakdown" count="0" hidden="1"/>
    <cacheHierarchy uniqueName="[Measures].[__No measures defined]" caption="__No measures defined" measure="1" displayFolder="" count="0" hidden="1"/>
    <cacheHierarchy uniqueName="[Measures].[Count of monthly_revenue]" caption="Count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Sum of monthly_revenue]" caption="Sum of monthly_revenue" measure="1" displayFolder="" measureGroup="Monthly_revenue" count="0" hidden="1">
      <extLst>
        <ext xmlns:x15="http://schemas.microsoft.com/office/spreadsheetml/2010/11/main" uri="{B97F6D7D-B522-45F9-BDA1-12C45D357490}">
          <x15:cacheHierarchy aggregatedColumn="1"/>
        </ext>
      </extLst>
    </cacheHierarchy>
    <cacheHierarchy uniqueName="[Measures].[Count of revenue]" caption="Count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Rev_category" count="0" hidden="1">
      <extLst>
        <ext xmlns:x15="http://schemas.microsoft.com/office/spreadsheetml/2010/11/main" uri="{B97F6D7D-B522-45F9-BDA1-12C45D357490}">
          <x15:cacheHierarchy aggregatedColumn="6"/>
        </ext>
      </extLst>
    </cacheHierarchy>
    <cacheHierarchy uniqueName="[Measures].[Sum of revenue_reg]" caption="Sum of revenue_reg" measure="1" displayFolder="" measureGroup="Rev_region" count="0" hidden="1">
      <extLst>
        <ext xmlns:x15="http://schemas.microsoft.com/office/spreadsheetml/2010/11/main" uri="{B97F6D7D-B522-45F9-BDA1-12C45D357490}">
          <x15:cacheHierarchy aggregatedColumn="8"/>
        </ext>
      </extLst>
    </cacheHierarchy>
    <cacheHierarchy uniqueName="[Measures].[Sum of orders]" caption="Sum of orders" measure="1" displayFolder="" measureGroup="Payment_Method_Breakdown"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Payment_Method_Breakdown"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1745448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32866573.739999998"/>
    <n v="50000"/>
    <n v="4000"/>
    <n v="657.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99EBD2-E288-4C87-804F-57EF29285F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D23"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C382BD-982E-4562-A4B8-DB149E1B2D5D}" name="PivotTable1" cacheId="1" applyNumberFormats="0" applyBorderFormats="0" applyFontFormats="0" applyPatternFormats="0" applyAlignmentFormats="0" applyWidthHeightFormats="1" dataCaption="Values" tag="1113ce85-39da-4840-ab53-c391a895b553" updatedVersion="8" minRefreshableVersion="3" useAutoFormatting="1" itemPrintTitles="1" createdVersion="8" indent="0" outline="1" outlineData="1" multipleFieldFilters="0">
  <location ref="D3:F20" firstHeaderRow="1" firstDataRow="1" firstDataCol="0"/>
  <pivotHierarchies count="2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dashboard.xlsx!Monthly_revenue">
        <x15:activeTabTopLevelEntity name="[Monthly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9096C6-7CF7-4104-B3EF-0D22422F69C7}" name="PivotTable2" cacheId="5" applyNumberFormats="0" applyBorderFormats="0" applyFontFormats="0" applyPatternFormats="0" applyAlignmentFormats="0" applyWidthHeightFormats="1" dataCaption="Values" tag="70a3fbd6-c0af-4f96-9441-343e45e5fbbd" updatedVersion="8" minRefreshableVersion="3" useAutoFormatting="1" itemPrintTitles="1" createdVersion="8" indent="0" outline="1" outlineData="1" multipleFieldFilters="0" chartFormat="6">
  <location ref="G1:H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monthly_revenue" fld="1" baseField="0" baseItem="0"/>
  </dataFields>
  <chartFormats count="1">
    <chartFormat chart="4" format="14"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dashboard.xlsx!Monthly_revenue">
        <x15:activeTabTopLevelEntity name="[Monthly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9023CE-4CFB-4B60-A72C-280BB3E16467}" name="PivotTable3" cacheId="4" applyNumberFormats="0" applyBorderFormats="0" applyFontFormats="0" applyPatternFormats="0" applyAlignmentFormats="0" applyWidthHeightFormats="1" dataCaption="Values" tag="60caf4cb-7518-464b-8f03-d21734113afa" updatedVersion="8" minRefreshableVersion="3" useAutoFormatting="1" itemPrintTitles="1" createdVersion="8" indent="0" outline="1" outlineData="1" multipleFieldFilters="0" chartFormat="12">
  <location ref="A9:B16" firstHeaderRow="1" firstDataRow="1" firstDataCol="1"/>
  <pivotFields count="2">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1"/>
    </i>
    <i>
      <x v="3"/>
    </i>
    <i>
      <x v="4"/>
    </i>
    <i>
      <x v="2"/>
    </i>
    <i>
      <x v="5"/>
    </i>
    <i t="grand">
      <x/>
    </i>
  </rowItems>
  <colItems count="1">
    <i/>
  </colItems>
  <dataFields count="1">
    <dataField name="Sum of revenue" fld="1" baseField="0" baseItem="1"/>
  </dataFields>
  <formats count="2">
    <format dxfId="11">
      <pivotArea collapsedLevelsAreSubtotals="1" fieldPosition="0">
        <references count="1">
          <reference field="0" count="0"/>
        </references>
      </pivotArea>
    </format>
    <format dxfId="10">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dashboard.xlsx!Rev_category">
        <x15:activeTabTopLevelEntity name="[Rev_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96926D-929D-46C6-9A55-D1789699DCF5}" name="PivotTable4" cacheId="3" applyNumberFormats="0" applyBorderFormats="0" applyFontFormats="0" applyPatternFormats="0" applyAlignmentFormats="0" applyWidthHeightFormats="1" dataCaption="Values" tag="3f715a53-35b0-43c0-8985-76ee4a4854ca" updatedVersion="8" minRefreshableVersion="3" useAutoFormatting="1" itemPrintTitles="1" createdVersion="8" indent="0" outline="1" outlineData="1" multipleFieldFilters="0" chartFormat="5">
  <location ref="A7:B12" firstHeaderRow="1" firstDataRow="1" firstDataCol="1"/>
  <pivotFields count="2">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3"/>
    </i>
    <i>
      <x v="2"/>
    </i>
    <i t="grand">
      <x/>
    </i>
  </rowItems>
  <colItems count="1">
    <i/>
  </colItems>
  <dataFields count="1">
    <dataField name="Sum of revenue_reg" fld="1" baseField="0" baseItem="0"/>
  </dataFields>
  <formats count="1">
    <format dxfId="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dashboard.xlsx!Rev_region">
        <x15:activeTabTopLevelEntity name="[Rev_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68121E-C14B-4847-A48F-29F9D91EB2C4}" name="PivotTable7" cacheId="2" applyNumberFormats="0" applyBorderFormats="0" applyFontFormats="0" applyPatternFormats="0" applyAlignmentFormats="0" applyWidthHeightFormats="1" dataCaption="Values" tag="ec27b388-44d5-41e0-95d4-f08d00270834" updatedVersion="8" minRefreshableVersion="3" useAutoFormatting="1" itemPrintTitles="1" createdVersion="8" indent="0" outline="1" outlineData="1" multipleFieldFilters="0" chartFormat="6">
  <location ref="A8:C1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orders" fld="1" showDataAs="percentOfTotal" baseField="0" baseItem="0" numFmtId="10"/>
    <dataField name="Sum of revenue" fld="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0" count="1" selected="0">
            <x v="0"/>
          </reference>
        </references>
      </pivotArea>
    </chartFormat>
    <chartFormat chart="5" format="16">
      <pivotArea type="data" outline="0" fieldPosition="0">
        <references count="2">
          <reference field="4294967294" count="1" selected="0">
            <x v="0"/>
          </reference>
          <reference field="0" count="1" selected="0">
            <x v="1"/>
          </reference>
        </references>
      </pivotArea>
    </chartFormat>
    <chartFormat chart="5" format="17">
      <pivotArea type="data" outline="0" fieldPosition="0">
        <references count="2">
          <reference field="4294967294" count="1" selected="0">
            <x v="0"/>
          </reference>
          <reference field="0" count="1" selected="0">
            <x v="2"/>
          </reference>
        </references>
      </pivotArea>
    </chartFormat>
    <chartFormat chart="5" format="18">
      <pivotArea type="data" outline="0" fieldPosition="0">
        <references count="2">
          <reference field="4294967294" count="1" selected="0">
            <x v="0"/>
          </reference>
          <reference field="0" count="1" selected="0">
            <x v="3"/>
          </reference>
        </references>
      </pivotArea>
    </chartFormat>
    <chartFormat chart="5" format="19">
      <pivotArea type="data" outline="0" fieldPosition="0">
        <references count="2">
          <reference field="4294967294" count="1" selected="0">
            <x v="0"/>
          </reference>
          <reference field="0" count="1" selected="0">
            <x v="4"/>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0" count="1" selected="0">
            <x v="0"/>
          </reference>
        </references>
      </pivotArea>
    </chartFormat>
    <chartFormat chart="5" format="22">
      <pivotArea type="data" outline="0" fieldPosition="0">
        <references count="2">
          <reference field="4294967294" count="1" selected="0">
            <x v="1"/>
          </reference>
          <reference field="0" count="1" selected="0">
            <x v="1"/>
          </reference>
        </references>
      </pivotArea>
    </chartFormat>
    <chartFormat chart="5" format="23">
      <pivotArea type="data" outline="0" fieldPosition="0">
        <references count="2">
          <reference field="4294967294" count="1" selected="0">
            <x v="1"/>
          </reference>
          <reference field="0" count="1" selected="0">
            <x v="2"/>
          </reference>
        </references>
      </pivotArea>
    </chartFormat>
    <chartFormat chart="5" format="24">
      <pivotArea type="data" outline="0" fieldPosition="0">
        <references count="2">
          <reference field="4294967294" count="1" selected="0">
            <x v="1"/>
          </reference>
          <reference field="0" count="1" selected="0">
            <x v="3"/>
          </reference>
        </references>
      </pivotArea>
    </chartFormat>
    <chartFormat chart="5" format="25">
      <pivotArea type="data" outline="0" fieldPosition="0">
        <references count="2">
          <reference field="4294967294" count="1" selected="0">
            <x v="1"/>
          </reference>
          <reference field="0" count="1" selected="0">
            <x v="4"/>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1"/>
          </reference>
          <reference field="0" count="1" selected="0">
            <x v="0"/>
          </reference>
        </references>
      </pivotArea>
    </chartFormat>
    <chartFormat chart="0" format="8">
      <pivotArea type="data" outline="0" fieldPosition="0">
        <references count="2">
          <reference field="4294967294" count="1" selected="0">
            <x v="1"/>
          </reference>
          <reference field="0" count="1" selected="0">
            <x v="1"/>
          </reference>
        </references>
      </pivotArea>
    </chartFormat>
    <chartFormat chart="0" format="9">
      <pivotArea type="data" outline="0" fieldPosition="0">
        <references count="2">
          <reference field="4294967294" count="1" selected="0">
            <x v="1"/>
          </reference>
          <reference field="0" count="1" selected="0">
            <x v="2"/>
          </reference>
        </references>
      </pivotArea>
    </chartFormat>
    <chartFormat chart="0" format="10">
      <pivotArea type="data" outline="0" fieldPosition="0">
        <references count="2">
          <reference field="4294967294" count="1" selected="0">
            <x v="1"/>
          </reference>
          <reference field="0" count="1" selected="0">
            <x v="3"/>
          </reference>
        </references>
      </pivotArea>
    </chartFormat>
    <chartFormat chart="0" format="11">
      <pivotArea type="data" outline="0" fieldPosition="0">
        <references count="2">
          <reference field="4294967294" count="1" selected="0">
            <x v="1"/>
          </reference>
          <reference field="0" count="1" selected="0">
            <x v="4"/>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dashboard.xlsx!Payment_Method_Breakdown">
        <x15:activeTabTopLevelEntity name="[Payment_Method_Breakdow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535D6A74-01DB-44EC-BC99-D672A55EB054}" autoFormatId="16" applyNumberFormats="0" applyBorderFormats="0" applyFontFormats="0" applyPatternFormats="0" applyAlignmentFormats="0" applyWidthHeightFormats="0">
  <queryTableRefresh nextId="5">
    <queryTableFields count="4">
      <queryTableField id="1" name="total_revenue" tableColumnId="1"/>
      <queryTableField id="2" name="total_orders" tableColumnId="2"/>
      <queryTableField id="3" name="total_products" tableColumnId="3"/>
      <queryTableField id="4" name="avg_order_valu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350935C-3574-40E9-AE02-26094F4B2F4A}" autoFormatId="16" applyNumberFormats="0" applyBorderFormats="0" applyFontFormats="0" applyPatternFormats="0" applyAlignmentFormats="0" applyWidthHeightFormats="0">
  <queryTableRefresh nextId="5">
    <queryTableFields count="2">
      <queryTableField id="3" name="month" tableColumnId="3"/>
      <queryTableField id="4" name="monthly_revenu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6DDF4371-5D8D-48EE-92C7-24561D7EDEAA}" autoFormatId="16" applyNumberFormats="0" applyBorderFormats="0" applyFontFormats="0" applyPatternFormats="0" applyAlignmentFormats="0" applyWidthHeightFormats="0">
  <queryTableRefresh nextId="5">
    <queryTableFields count="2">
      <queryTableField id="3" name="product_category" tableColumnId="3"/>
      <queryTableField id="4" name="revenu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728F1F52-CB4D-42E7-92AE-419329C46756}" autoFormatId="16" applyNumberFormats="0" applyBorderFormats="0" applyFontFormats="0" applyPatternFormats="0" applyAlignmentFormats="0" applyWidthHeightFormats="0">
  <queryTableRefresh nextId="5">
    <queryTableFields count="2">
      <queryTableField id="3" name="customer_region" tableColumnId="3"/>
      <queryTableField id="4" name="revenue_reg"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4E8AD582-5590-4829-AA19-6ACA65B910EB}" autoFormatId="16" applyNumberFormats="0" applyBorderFormats="0" applyFontFormats="0" applyPatternFormats="0" applyAlignmentFormats="0" applyWidthHeightFormats="0">
  <queryTableRefresh nextId="4">
    <queryTableFields count="3">
      <queryTableField id="1" name="payment_method" tableColumnId="1"/>
      <queryTableField id="2" name="orders" tableColumnId="2"/>
      <queryTableField id="3" name="revenu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1A3EB62-685B-47CF-A7E8-1FAF40353968}" sourceName="[Rev_category].[product_category]">
  <pivotTables>
    <pivotTable tabId="5" name="PivotTable3"/>
  </pivotTables>
  <data>
    <olap pivotCacheId="1917454483">
      <levels count="2">
        <level uniqueName="[Rev_category].[product_category].[(All)]" sourceCaption="(All)" count="0"/>
        <level uniqueName="[Rev_category].[product_category].[product_category]" sourceCaption="product_category" count="6">
          <ranges>
            <range startItem="0">
              <i n="[Rev_category].[product_category].&amp;[Beauty]" c="Beauty"/>
              <i n="[Rev_category].[product_category].&amp;[Books]" c="Books"/>
              <i n="[Rev_category].[product_category].&amp;[Electronics]" c="Electronics"/>
              <i n="[Rev_category].[product_category].&amp;[Fashion]" c="Fashion"/>
              <i n="[Rev_category].[product_category].&amp;[Home &amp; Kitchen]" c="Home &amp; Kitchen"/>
              <i n="[Rev_category].[product_category].&amp;[Sports]" c="Sports"/>
            </range>
          </ranges>
        </level>
      </levels>
      <selections count="1">
        <selection n="[Rev_category].[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5D930F0-F1FB-40A1-8D37-D4DE8AC21488}" sourceName="[Monthly_revenue].[month]">
  <pivotTables>
    <pivotTable tabId="3" name="PivotTable2"/>
  </pivotTables>
  <data>
    <olap pivotCacheId="1917454483">
      <levels count="2">
        <level uniqueName="[Monthly_revenue].[month].[(All)]" sourceCaption="(All)" count="0"/>
        <level uniqueName="[Monthly_revenue].[month].[month]" sourceCaption="month" count="12">
          <ranges>
            <range startItem="0">
              <i n="[Monthly_revenue].[month].&amp;[April]" c="April"/>
              <i n="[Monthly_revenue].[month].&amp;[August]" c="August"/>
              <i n="[Monthly_revenue].[month].&amp;[December]" c="December"/>
              <i n="[Monthly_revenue].[month].&amp;[February]" c="February"/>
              <i n="[Monthly_revenue].[month].&amp;[January]" c="January"/>
              <i n="[Monthly_revenue].[month].&amp;[July]" c="July"/>
              <i n="[Monthly_revenue].[month].&amp;[June]" c="June"/>
              <i n="[Monthly_revenue].[month].&amp;[March]" c="March"/>
              <i n="[Monthly_revenue].[month].&amp;[May]" c="May"/>
              <i n="[Monthly_revenue].[month].&amp;[November]" c="November"/>
              <i n="[Monthly_revenue].[month].&amp;[October]" c="October"/>
              <i n="[Monthly_revenue].[month].&amp;[September]" c="September"/>
            </range>
          </ranges>
        </level>
      </levels>
      <selections count="1">
        <selection n="[Monthly_revenu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5A9980B3-E0DB-4C33-AB85-14FDFB895CF7}" cache="Slicer_product_category" caption="product_category" level="1" rowHeight="257175"/>
  <slicer name="month" xr10:uid="{E2096069-3489-4F31-943B-EFB2955DBF6E}" cache="Slicer_month" caption="month" startItem="4"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D8113B-E7A5-497D-9527-16EDF89E01B2}" name="KPIs" displayName="KPIs" ref="A1:D2" tableType="queryTable" totalsRowShown="0">
  <autoFilter ref="A1:D2" xr:uid="{3DD8113B-E7A5-497D-9527-16EDF89E01B2}"/>
  <tableColumns count="4">
    <tableColumn id="1" xr3:uid="{2A8BC42B-1D5B-453D-B9E4-4C06D806EE9A}" uniqueName="1" name="total_revenue" queryTableFieldId="1" dataDxfId="15"/>
    <tableColumn id="2" xr3:uid="{5055005F-7ED0-4997-B6C3-3363BD389DBA}" uniqueName="2" name="total_orders" queryTableFieldId="2"/>
    <tableColumn id="3" xr3:uid="{37A7050D-FAC4-420B-B78D-AA621E877305}" uniqueName="3" name="total_products" queryTableFieldId="3"/>
    <tableColumn id="4" xr3:uid="{4BBFEFB6-90ED-407F-8CC5-E1C043DFC02D}" uniqueName="4" name="avg_order_value" queryTableFieldId="4" dataDxfId="1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551307-0ECE-43AC-BB11-A815618EF3E4}" name="Monthly_revenue" displayName="Monthly_revenue" ref="A1:B13" tableType="queryTable" totalsRowShown="0">
  <autoFilter ref="A1:B13" xr:uid="{46551307-0ECE-43AC-BB11-A815618EF3E4}"/>
  <tableColumns count="2">
    <tableColumn id="3" xr3:uid="{96C24456-8876-420D-A8EE-EEE22C416D41}" uniqueName="3" name="month" queryTableFieldId="3" dataDxfId="13"/>
    <tableColumn id="4" xr3:uid="{F0789B9B-B1C1-4A75-89F7-CF3FF60D21B6}" uniqueName="4" name="monthly_revenue" queryTableFieldId="4"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33E220-F93D-4375-8539-2D9F6CF7DAB8}" name="Rev_category" displayName="Rev_category" ref="A1:B7" tableType="queryTable" totalsRowShown="0">
  <autoFilter ref="A1:B7" xr:uid="{FC33E220-F93D-4375-8539-2D9F6CF7DAB8}"/>
  <tableColumns count="2">
    <tableColumn id="3" xr3:uid="{AA7106F7-956F-42C9-8D79-7F93C5224E1E}" uniqueName="3" name="product_category" queryTableFieldId="3" dataDxfId="9"/>
    <tableColumn id="4" xr3:uid="{57C2D2EE-798A-4EA8-9FDF-FC31BE060E28}" uniqueName="4" name="revenue" queryTableFieldId="4"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D487F3-BCCE-4B8B-A61E-60A5DB0F7DF5}" name="Rev_region" displayName="Rev_region" ref="A1:B5" tableType="queryTable" totalsRowShown="0">
  <autoFilter ref="A1:B5" xr:uid="{0FD487F3-BCCE-4B8B-A61E-60A5DB0F7DF5}"/>
  <tableColumns count="2">
    <tableColumn id="3" xr3:uid="{D2C84526-BE80-4C62-827B-F6CEFEF770FC}" uniqueName="3" name="customer_region" queryTableFieldId="3" dataDxfId="6"/>
    <tableColumn id="4" xr3:uid="{49493B80-4617-408A-AB89-E9C19F11B7BF}" uniqueName="4" name="revenue_reg" queryTableFieldId="4"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F85937-30B0-4DE2-9450-01CD16C6F471}" name="Payment_Method_Breakdown" displayName="Payment_Method_Breakdown" ref="A1:C6" tableType="queryTable" totalsRowShown="0" headerRowDxfId="4" dataDxfId="3">
  <autoFilter ref="A1:C6" xr:uid="{EEF85937-30B0-4DE2-9450-01CD16C6F471}"/>
  <tableColumns count="3">
    <tableColumn id="1" xr3:uid="{DD3F9D62-A259-4731-9D27-7C43BC14A7CE}" uniqueName="1" name="payment_method" queryTableFieldId="1" dataDxfId="2"/>
    <tableColumn id="2" xr3:uid="{0EDB5698-A692-46B8-9778-1B15236EAEAC}" uniqueName="2" name="orders" queryTableFieldId="2" dataDxfId="1"/>
    <tableColumn id="3" xr3:uid="{28F3DBBF-FC36-4D2F-8722-DED847246B61}" uniqueName="3" name="revenu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9091F-CA04-4B0E-BB3A-35C6E9BC4E5A}">
  <dimension ref="B1:S1"/>
  <sheetViews>
    <sheetView showGridLines="0" showRowColHeaders="0" tabSelected="1" zoomScale="80" zoomScaleNormal="80" workbookViewId="0">
      <selection activeCell="Z4" sqref="Z4"/>
    </sheetView>
  </sheetViews>
  <sheetFormatPr defaultRowHeight="15" x14ac:dyDescent="0.25"/>
  <cols>
    <col min="26" max="26" width="8.28515625" customWidth="1"/>
  </cols>
  <sheetData>
    <row r="1" spans="2:19" ht="36" x14ac:dyDescent="0.55000000000000004">
      <c r="B1" s="22" t="s">
        <v>39</v>
      </c>
      <c r="C1" s="22"/>
      <c r="D1" s="22"/>
      <c r="E1" s="22"/>
      <c r="F1" s="22"/>
      <c r="G1" s="22"/>
      <c r="H1" s="22"/>
      <c r="I1" s="22"/>
      <c r="J1" s="22"/>
      <c r="K1" s="22"/>
      <c r="L1" s="22"/>
      <c r="M1" s="22"/>
      <c r="N1" s="22"/>
      <c r="O1" s="22"/>
      <c r="P1" s="22"/>
      <c r="Q1" s="22"/>
      <c r="R1" s="22"/>
      <c r="S1" s="22"/>
    </row>
  </sheetData>
  <mergeCells count="1">
    <mergeCell ref="B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8DBC-A282-414F-A534-C5FF436594AD}">
  <dimension ref="A1:I23"/>
  <sheetViews>
    <sheetView workbookViewId="0">
      <selection activeCell="B1" sqref="B1:S1"/>
    </sheetView>
  </sheetViews>
  <sheetFormatPr defaultRowHeight="15" x14ac:dyDescent="0.25"/>
  <cols>
    <col min="1" max="1" width="15.85546875" bestFit="1" customWidth="1"/>
    <col min="2" max="2" width="14.140625" bestFit="1" customWidth="1"/>
    <col min="3" max="3" width="16.42578125" bestFit="1" customWidth="1"/>
    <col min="4" max="4" width="17.85546875" bestFit="1" customWidth="1"/>
  </cols>
  <sheetData>
    <row r="1" spans="1:9" x14ac:dyDescent="0.25">
      <c r="A1" t="s">
        <v>35</v>
      </c>
      <c r="B1" t="s">
        <v>36</v>
      </c>
      <c r="C1" t="s">
        <v>37</v>
      </c>
      <c r="D1" t="s">
        <v>38</v>
      </c>
      <c r="F1" s="15"/>
      <c r="G1" s="16"/>
      <c r="H1" s="16"/>
      <c r="I1" s="17"/>
    </row>
    <row r="2" spans="1:9" x14ac:dyDescent="0.25">
      <c r="A2" s="19">
        <v>32866573.739999998</v>
      </c>
      <c r="B2">
        <v>50000</v>
      </c>
      <c r="C2">
        <v>4000</v>
      </c>
      <c r="D2" s="19">
        <v>657.33</v>
      </c>
    </row>
    <row r="6" spans="1:9" x14ac:dyDescent="0.25">
      <c r="B6" s="6"/>
      <c r="C6" s="7"/>
      <c r="D6" s="8"/>
    </row>
    <row r="7" spans="1:9" x14ac:dyDescent="0.25">
      <c r="B7" s="9"/>
      <c r="C7" s="10"/>
      <c r="D7" s="11"/>
    </row>
    <row r="8" spans="1:9" x14ac:dyDescent="0.25">
      <c r="B8" s="9"/>
      <c r="C8" s="10"/>
      <c r="D8" s="11"/>
    </row>
    <row r="9" spans="1:9" x14ac:dyDescent="0.25">
      <c r="B9" s="9"/>
      <c r="C9" s="10"/>
      <c r="D9" s="11"/>
    </row>
    <row r="10" spans="1:9" x14ac:dyDescent="0.25">
      <c r="B10" s="9"/>
      <c r="C10" s="10"/>
      <c r="D10" s="11"/>
    </row>
    <row r="11" spans="1:9" x14ac:dyDescent="0.25">
      <c r="B11" s="9"/>
      <c r="C11" s="10"/>
      <c r="D11" s="11"/>
    </row>
    <row r="12" spans="1:9" x14ac:dyDescent="0.25">
      <c r="B12" s="9"/>
      <c r="C12" s="10"/>
      <c r="D12" s="11"/>
    </row>
    <row r="13" spans="1:9" x14ac:dyDescent="0.25">
      <c r="B13" s="9"/>
      <c r="C13" s="10"/>
      <c r="D13" s="11"/>
    </row>
    <row r="14" spans="1:9" x14ac:dyDescent="0.25">
      <c r="B14" s="9"/>
      <c r="C14" s="10"/>
      <c r="D14" s="11"/>
    </row>
    <row r="15" spans="1:9" x14ac:dyDescent="0.25">
      <c r="B15" s="9"/>
      <c r="C15" s="10"/>
      <c r="D15" s="11"/>
    </row>
    <row r="16" spans="1:9" x14ac:dyDescent="0.25">
      <c r="B16" s="9"/>
      <c r="C16" s="10"/>
      <c r="D16" s="11"/>
    </row>
    <row r="17" spans="2:4" x14ac:dyDescent="0.25">
      <c r="B17" s="9"/>
      <c r="C17" s="10"/>
      <c r="D17" s="11"/>
    </row>
    <row r="18" spans="2:4" x14ac:dyDescent="0.25">
      <c r="B18" s="9"/>
      <c r="C18" s="10"/>
      <c r="D18" s="11"/>
    </row>
    <row r="19" spans="2:4" x14ac:dyDescent="0.25">
      <c r="B19" s="9"/>
      <c r="C19" s="10"/>
      <c r="D19" s="11"/>
    </row>
    <row r="20" spans="2:4" x14ac:dyDescent="0.25">
      <c r="B20" s="9"/>
      <c r="C20" s="10"/>
      <c r="D20" s="11"/>
    </row>
    <row r="21" spans="2:4" x14ac:dyDescent="0.25">
      <c r="B21" s="9"/>
      <c r="C21" s="10"/>
      <c r="D21" s="11"/>
    </row>
    <row r="22" spans="2:4" x14ac:dyDescent="0.25">
      <c r="B22" s="9"/>
      <c r="C22" s="10"/>
      <c r="D22" s="11"/>
    </row>
    <row r="23" spans="2:4" x14ac:dyDescent="0.25">
      <c r="B23" s="12"/>
      <c r="C23" s="13"/>
      <c r="D23" s="14"/>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2B271-7542-4E55-A1D5-629E49E0BF26}">
  <dimension ref="A1:H20"/>
  <sheetViews>
    <sheetView workbookViewId="0">
      <selection activeCell="B1" sqref="B1:S1"/>
    </sheetView>
  </sheetViews>
  <sheetFormatPr defaultRowHeight="15" x14ac:dyDescent="0.25"/>
  <cols>
    <col min="1" max="1" width="10.28515625" bestFit="1" customWidth="1"/>
    <col min="2" max="2" width="19.140625" bestFit="1" customWidth="1"/>
    <col min="3" max="3" width="11.42578125" bestFit="1" customWidth="1"/>
    <col min="4" max="4" width="13.42578125" bestFit="1" customWidth="1"/>
    <col min="5" max="5" width="5.5703125" bestFit="1" customWidth="1"/>
    <col min="6" max="6" width="18.85546875" bestFit="1" customWidth="1"/>
    <col min="7" max="7" width="13.42578125" bestFit="1" customWidth="1"/>
    <col min="8" max="8" width="23.85546875" bestFit="1" customWidth="1"/>
    <col min="9" max="19" width="11" bestFit="1" customWidth="1"/>
    <col min="20" max="20" width="11.28515625" bestFit="1" customWidth="1"/>
  </cols>
  <sheetData>
    <row r="1" spans="1:8" x14ac:dyDescent="0.25">
      <c r="A1" t="s">
        <v>9</v>
      </c>
      <c r="B1" t="s">
        <v>13</v>
      </c>
      <c r="G1" s="5" t="s">
        <v>41</v>
      </c>
      <c r="H1" t="s">
        <v>42</v>
      </c>
    </row>
    <row r="2" spans="1:8" x14ac:dyDescent="0.25">
      <c r="A2" t="s">
        <v>3</v>
      </c>
      <c r="B2" s="19">
        <v>2505094.7999999998</v>
      </c>
      <c r="G2" s="18" t="s">
        <v>4</v>
      </c>
      <c r="H2">
        <v>2883926.88</v>
      </c>
    </row>
    <row r="3" spans="1:8" x14ac:dyDescent="0.25">
      <c r="A3" t="s">
        <v>10</v>
      </c>
      <c r="B3" s="19">
        <v>2625428.52</v>
      </c>
      <c r="D3" s="6"/>
      <c r="E3" s="7"/>
      <c r="F3" s="8"/>
      <c r="G3" s="18" t="s">
        <v>3</v>
      </c>
      <c r="H3">
        <v>2505094.7999999998</v>
      </c>
    </row>
    <row r="4" spans="1:8" x14ac:dyDescent="0.25">
      <c r="A4" t="s">
        <v>0</v>
      </c>
      <c r="B4" s="19">
        <v>2678973.77</v>
      </c>
      <c r="D4" s="9"/>
      <c r="E4" s="10"/>
      <c r="F4" s="11"/>
      <c r="G4" s="18" t="s">
        <v>7</v>
      </c>
      <c r="H4">
        <v>2759003.83</v>
      </c>
    </row>
    <row r="5" spans="1:8" x14ac:dyDescent="0.25">
      <c r="A5" t="s">
        <v>2</v>
      </c>
      <c r="B5" s="19">
        <v>2721394.94</v>
      </c>
      <c r="D5" s="9"/>
      <c r="E5" s="10"/>
      <c r="F5" s="11"/>
      <c r="G5" s="18" t="s">
        <v>0</v>
      </c>
      <c r="H5">
        <v>2678973.77</v>
      </c>
    </row>
    <row r="6" spans="1:8" x14ac:dyDescent="0.25">
      <c r="A6" t="s">
        <v>12</v>
      </c>
      <c r="B6" s="19">
        <v>2744974.92</v>
      </c>
      <c r="D6" s="9"/>
      <c r="E6" s="10"/>
      <c r="F6" s="11"/>
      <c r="G6" s="18" t="s">
        <v>8</v>
      </c>
      <c r="H6">
        <v>2806178.34</v>
      </c>
    </row>
    <row r="7" spans="1:8" x14ac:dyDescent="0.25">
      <c r="A7" t="s">
        <v>6</v>
      </c>
      <c r="B7" s="19">
        <v>2746947.62</v>
      </c>
      <c r="D7" s="9"/>
      <c r="E7" s="10"/>
      <c r="F7" s="11"/>
      <c r="G7" s="18" t="s">
        <v>6</v>
      </c>
      <c r="H7">
        <v>2746947.62</v>
      </c>
    </row>
    <row r="8" spans="1:8" x14ac:dyDescent="0.25">
      <c r="A8" t="s">
        <v>7</v>
      </c>
      <c r="B8" s="19">
        <v>2759003.83</v>
      </c>
      <c r="D8" s="9"/>
      <c r="E8" s="10"/>
      <c r="F8" s="11"/>
      <c r="G8" s="18" t="s">
        <v>5</v>
      </c>
      <c r="H8">
        <v>2788265.84</v>
      </c>
    </row>
    <row r="9" spans="1:8" x14ac:dyDescent="0.25">
      <c r="A9" t="s">
        <v>11</v>
      </c>
      <c r="B9" s="19">
        <v>2760754.34</v>
      </c>
      <c r="D9" s="9"/>
      <c r="E9" s="10"/>
      <c r="F9" s="11"/>
      <c r="G9" s="18" t="s">
        <v>1</v>
      </c>
      <c r="H9">
        <v>2845629.94</v>
      </c>
    </row>
    <row r="10" spans="1:8" x14ac:dyDescent="0.25">
      <c r="A10" t="s">
        <v>5</v>
      </c>
      <c r="B10" s="19">
        <v>2788265.84</v>
      </c>
      <c r="D10" s="9"/>
      <c r="E10" s="10"/>
      <c r="F10" s="11"/>
      <c r="G10" s="18" t="s">
        <v>12</v>
      </c>
      <c r="H10">
        <v>2744974.92</v>
      </c>
    </row>
    <row r="11" spans="1:8" x14ac:dyDescent="0.25">
      <c r="A11" t="s">
        <v>8</v>
      </c>
      <c r="B11" s="19">
        <v>2806178.34</v>
      </c>
      <c r="D11" s="9"/>
      <c r="E11" s="10"/>
      <c r="F11" s="11"/>
      <c r="G11" s="18" t="s">
        <v>11</v>
      </c>
      <c r="H11">
        <v>2760754.34</v>
      </c>
    </row>
    <row r="12" spans="1:8" x14ac:dyDescent="0.25">
      <c r="A12" t="s">
        <v>1</v>
      </c>
      <c r="B12" s="19">
        <v>2845629.94</v>
      </c>
      <c r="D12" s="9"/>
      <c r="E12" s="10"/>
      <c r="F12" s="11"/>
      <c r="G12" s="18" t="s">
        <v>10</v>
      </c>
      <c r="H12">
        <v>2625428.52</v>
      </c>
    </row>
    <row r="13" spans="1:8" x14ac:dyDescent="0.25">
      <c r="A13" t="s">
        <v>4</v>
      </c>
      <c r="B13" s="19">
        <v>2883926.88</v>
      </c>
      <c r="D13" s="9"/>
      <c r="E13" s="10"/>
      <c r="F13" s="11"/>
      <c r="G13" s="18" t="s">
        <v>2</v>
      </c>
      <c r="H13">
        <v>2721394.94</v>
      </c>
    </row>
    <row r="14" spans="1:8" x14ac:dyDescent="0.25">
      <c r="D14" s="9"/>
      <c r="E14" s="10"/>
      <c r="F14" s="11"/>
      <c r="G14" s="18" t="s">
        <v>40</v>
      </c>
      <c r="H14">
        <v>32866573.739999998</v>
      </c>
    </row>
    <row r="15" spans="1:8" x14ac:dyDescent="0.25">
      <c r="D15" s="9"/>
      <c r="E15" s="10"/>
      <c r="F15" s="11"/>
    </row>
    <row r="16" spans="1:8" x14ac:dyDescent="0.25">
      <c r="D16" s="9"/>
      <c r="E16" s="10"/>
      <c r="F16" s="11"/>
    </row>
    <row r="17" spans="4:6" x14ac:dyDescent="0.25">
      <c r="D17" s="9"/>
      <c r="E17" s="10"/>
      <c r="F17" s="11"/>
    </row>
    <row r="18" spans="4:6" x14ac:dyDescent="0.25">
      <c r="D18" s="9"/>
      <c r="E18" s="10"/>
      <c r="F18" s="11"/>
    </row>
    <row r="19" spans="4:6" x14ac:dyDescent="0.25">
      <c r="D19" s="9"/>
      <c r="E19" s="10"/>
      <c r="F19" s="11"/>
    </row>
    <row r="20" spans="4:6" x14ac:dyDescent="0.25">
      <c r="D20" s="12"/>
      <c r="E20" s="13"/>
      <c r="F20" s="14"/>
    </row>
  </sheetData>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B830-8E62-441D-A7F1-DB37AFACA07D}">
  <dimension ref="A1:B16"/>
  <sheetViews>
    <sheetView workbookViewId="0">
      <selection activeCell="B1" sqref="B1:S1"/>
    </sheetView>
  </sheetViews>
  <sheetFormatPr defaultRowHeight="15" x14ac:dyDescent="0.25"/>
  <cols>
    <col min="1" max="1" width="15" bestFit="1" customWidth="1"/>
    <col min="2" max="2" width="16.42578125" bestFit="1" customWidth="1"/>
    <col min="3" max="3" width="16.28515625" bestFit="1" customWidth="1"/>
    <col min="4" max="4" width="17.85546875" bestFit="1" customWidth="1"/>
  </cols>
  <sheetData>
    <row r="1" spans="1:2" x14ac:dyDescent="0.25">
      <c r="A1" t="s">
        <v>22</v>
      </c>
      <c r="B1" t="s">
        <v>16</v>
      </c>
    </row>
    <row r="2" spans="1:2" x14ac:dyDescent="0.25">
      <c r="A2" t="s">
        <v>23</v>
      </c>
      <c r="B2">
        <v>5550624.9699999997</v>
      </c>
    </row>
    <row r="3" spans="1:2" x14ac:dyDescent="0.25">
      <c r="A3" t="s">
        <v>24</v>
      </c>
      <c r="B3">
        <v>5484863.0300000003</v>
      </c>
    </row>
    <row r="4" spans="1:2" x14ac:dyDescent="0.25">
      <c r="A4" t="s">
        <v>25</v>
      </c>
      <c r="B4">
        <v>5480123.3399999999</v>
      </c>
    </row>
    <row r="5" spans="1:2" x14ac:dyDescent="0.25">
      <c r="A5" t="s">
        <v>26</v>
      </c>
      <c r="B5">
        <v>5473132.5499999998</v>
      </c>
    </row>
    <row r="6" spans="1:2" x14ac:dyDescent="0.25">
      <c r="A6" t="s">
        <v>27</v>
      </c>
      <c r="B6">
        <v>5470594.0300000003</v>
      </c>
    </row>
    <row r="7" spans="1:2" x14ac:dyDescent="0.25">
      <c r="A7" t="s">
        <v>28</v>
      </c>
      <c r="B7">
        <v>5407235.8200000003</v>
      </c>
    </row>
    <row r="9" spans="1:2" x14ac:dyDescent="0.25">
      <c r="A9" s="5" t="s">
        <v>41</v>
      </c>
      <c r="B9" s="19" t="s">
        <v>43</v>
      </c>
    </row>
    <row r="10" spans="1:2" x14ac:dyDescent="0.25">
      <c r="A10" s="18" t="s">
        <v>23</v>
      </c>
      <c r="B10" s="19">
        <v>5550624.9699999997</v>
      </c>
    </row>
    <row r="11" spans="1:2" x14ac:dyDescent="0.25">
      <c r="A11" s="18" t="s">
        <v>24</v>
      </c>
      <c r="B11" s="19">
        <v>5484863.0300000003</v>
      </c>
    </row>
    <row r="12" spans="1:2" x14ac:dyDescent="0.25">
      <c r="A12" s="18" t="s">
        <v>25</v>
      </c>
      <c r="B12" s="19">
        <v>5480123.3399999999</v>
      </c>
    </row>
    <row r="13" spans="1:2" x14ac:dyDescent="0.25">
      <c r="A13" s="18" t="s">
        <v>26</v>
      </c>
      <c r="B13" s="19">
        <v>5473132.5499999998</v>
      </c>
    </row>
    <row r="14" spans="1:2" x14ac:dyDescent="0.25">
      <c r="A14" s="18" t="s">
        <v>27</v>
      </c>
      <c r="B14" s="19">
        <v>5470594.0300000003</v>
      </c>
    </row>
    <row r="15" spans="1:2" x14ac:dyDescent="0.25">
      <c r="A15" s="18" t="s">
        <v>28</v>
      </c>
      <c r="B15" s="19">
        <v>5407235.8200000003</v>
      </c>
    </row>
    <row r="16" spans="1:2" x14ac:dyDescent="0.25">
      <c r="A16" s="18" t="s">
        <v>40</v>
      </c>
      <c r="B16">
        <v>32866573.739999998</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700E-FB27-4CA8-BB8A-8BCD53106211}">
  <dimension ref="A1:D12"/>
  <sheetViews>
    <sheetView topLeftCell="A7" workbookViewId="0">
      <selection activeCell="B1" sqref="B1:S1"/>
    </sheetView>
  </sheetViews>
  <sheetFormatPr defaultRowHeight="15" x14ac:dyDescent="0.25"/>
  <cols>
    <col min="1" max="1" width="13.85546875" bestFit="1" customWidth="1"/>
    <col min="2" max="2" width="19.140625" bestFit="1" customWidth="1"/>
    <col min="3" max="3" width="15.85546875" bestFit="1" customWidth="1"/>
    <col min="4" max="4" width="17.85546875" bestFit="1" customWidth="1"/>
    <col min="6" max="6" width="15.85546875" bestFit="1" customWidth="1"/>
    <col min="7" max="7" width="17.85546875" bestFit="1" customWidth="1"/>
  </cols>
  <sheetData>
    <row r="1" spans="1:4" x14ac:dyDescent="0.25">
      <c r="A1" t="s">
        <v>29</v>
      </c>
      <c r="B1" s="19" t="s">
        <v>30</v>
      </c>
      <c r="C1" s="1"/>
      <c r="D1" s="2"/>
    </row>
    <row r="2" spans="1:4" x14ac:dyDescent="0.25">
      <c r="A2" t="s">
        <v>31</v>
      </c>
      <c r="B2" s="20">
        <v>8301844.5</v>
      </c>
      <c r="C2" s="3"/>
      <c r="D2" s="4"/>
    </row>
    <row r="3" spans="1:4" x14ac:dyDescent="0.25">
      <c r="A3" t="s">
        <v>32</v>
      </c>
      <c r="B3" s="19">
        <v>8277217.8399999999</v>
      </c>
      <c r="C3" s="1"/>
      <c r="D3" s="2"/>
    </row>
    <row r="4" spans="1:4" x14ac:dyDescent="0.25">
      <c r="A4" t="s">
        <v>33</v>
      </c>
      <c r="B4" s="19">
        <v>8175199.8300000001</v>
      </c>
      <c r="C4" s="3"/>
      <c r="D4" s="4"/>
    </row>
    <row r="5" spans="1:4" x14ac:dyDescent="0.25">
      <c r="A5" t="s">
        <v>34</v>
      </c>
      <c r="B5" s="19">
        <v>8112311.5700000003</v>
      </c>
      <c r="C5" s="1"/>
      <c r="D5" s="2"/>
    </row>
    <row r="7" spans="1:4" x14ac:dyDescent="0.25">
      <c r="A7" s="5" t="s">
        <v>41</v>
      </c>
      <c r="B7" t="s">
        <v>44</v>
      </c>
    </row>
    <row r="8" spans="1:4" x14ac:dyDescent="0.25">
      <c r="A8" s="18" t="s">
        <v>34</v>
      </c>
      <c r="B8">
        <v>8112311.5700000003</v>
      </c>
    </row>
    <row r="9" spans="1:4" x14ac:dyDescent="0.25">
      <c r="A9" s="18" t="s">
        <v>33</v>
      </c>
      <c r="B9">
        <v>8175199.8300000001</v>
      </c>
    </row>
    <row r="10" spans="1:4" x14ac:dyDescent="0.25">
      <c r="A10" s="18" t="s">
        <v>32</v>
      </c>
      <c r="B10">
        <v>8277217.8399999999</v>
      </c>
    </row>
    <row r="11" spans="1:4" x14ac:dyDescent="0.25">
      <c r="A11" s="18" t="s">
        <v>31</v>
      </c>
      <c r="B11">
        <v>8301844.5</v>
      </c>
    </row>
    <row r="12" spans="1:4" x14ac:dyDescent="0.25">
      <c r="A12" s="18" t="s">
        <v>40</v>
      </c>
      <c r="B12">
        <v>32866573.739999998</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4809D-7D50-46BC-B134-397AC9303C88}">
  <dimension ref="A1:C14"/>
  <sheetViews>
    <sheetView topLeftCell="C1" workbookViewId="0">
      <selection activeCell="B1" sqref="B1:S1"/>
    </sheetView>
  </sheetViews>
  <sheetFormatPr defaultRowHeight="15" x14ac:dyDescent="0.25"/>
  <cols>
    <col min="1" max="1" width="15.5703125" bestFit="1" customWidth="1"/>
    <col min="2" max="2" width="13.7109375" bestFit="1" customWidth="1"/>
    <col min="3" max="3" width="15.28515625" bestFit="1" customWidth="1"/>
  </cols>
  <sheetData>
    <row r="1" spans="1:3" x14ac:dyDescent="0.25">
      <c r="A1" s="20" t="s">
        <v>14</v>
      </c>
      <c r="B1" s="19" t="s">
        <v>15</v>
      </c>
      <c r="C1" s="19" t="s">
        <v>16</v>
      </c>
    </row>
    <row r="2" spans="1:3" x14ac:dyDescent="0.25">
      <c r="A2" s="19" t="s">
        <v>17</v>
      </c>
      <c r="B2">
        <v>10078</v>
      </c>
      <c r="C2" s="19">
        <v>6579441.4400000004</v>
      </c>
    </row>
    <row r="3" spans="1:3" x14ac:dyDescent="0.25">
      <c r="A3" s="19" t="s">
        <v>18</v>
      </c>
      <c r="B3">
        <v>9908</v>
      </c>
      <c r="C3" s="19">
        <v>6540087.1600000001</v>
      </c>
    </row>
    <row r="4" spans="1:3" x14ac:dyDescent="0.25">
      <c r="A4" s="19" t="s">
        <v>19</v>
      </c>
      <c r="B4">
        <v>10106</v>
      </c>
      <c r="C4" s="19">
        <v>6678638.4699999997</v>
      </c>
    </row>
    <row r="5" spans="1:3" x14ac:dyDescent="0.25">
      <c r="A5" s="19" t="s">
        <v>20</v>
      </c>
      <c r="B5">
        <v>9927</v>
      </c>
      <c r="C5" s="19">
        <v>6546386.9400000004</v>
      </c>
    </row>
    <row r="6" spans="1:3" x14ac:dyDescent="0.25">
      <c r="A6" s="19" t="s">
        <v>21</v>
      </c>
      <c r="B6">
        <v>9981</v>
      </c>
      <c r="C6" s="19">
        <v>6522019.7300000004</v>
      </c>
    </row>
    <row r="8" spans="1:3" x14ac:dyDescent="0.25">
      <c r="A8" s="5" t="s">
        <v>41</v>
      </c>
      <c r="B8" t="s">
        <v>45</v>
      </c>
      <c r="C8" t="s">
        <v>43</v>
      </c>
    </row>
    <row r="9" spans="1:3" x14ac:dyDescent="0.25">
      <c r="A9" s="18" t="s">
        <v>20</v>
      </c>
      <c r="B9" s="21">
        <v>0.19853999999999999</v>
      </c>
      <c r="C9">
        <v>6546386.9400000004</v>
      </c>
    </row>
    <row r="10" spans="1:3" x14ac:dyDescent="0.25">
      <c r="A10" s="18" t="s">
        <v>18</v>
      </c>
      <c r="B10" s="21">
        <v>0.19816</v>
      </c>
      <c r="C10">
        <v>6540087.1600000001</v>
      </c>
    </row>
    <row r="11" spans="1:3" x14ac:dyDescent="0.25">
      <c r="A11" s="18" t="s">
        <v>21</v>
      </c>
      <c r="B11" s="21">
        <v>0.19961999999999999</v>
      </c>
      <c r="C11">
        <v>6522019.7300000004</v>
      </c>
    </row>
    <row r="12" spans="1:3" x14ac:dyDescent="0.25">
      <c r="A12" s="18" t="s">
        <v>17</v>
      </c>
      <c r="B12" s="21">
        <v>0.20155999999999999</v>
      </c>
      <c r="C12">
        <v>6579441.4400000004</v>
      </c>
    </row>
    <row r="13" spans="1:3" x14ac:dyDescent="0.25">
      <c r="A13" s="18" t="s">
        <v>19</v>
      </c>
      <c r="B13" s="21">
        <v>0.20211999999999999</v>
      </c>
      <c r="C13">
        <v>6678638.4699999997</v>
      </c>
    </row>
    <row r="14" spans="1:3" x14ac:dyDescent="0.25">
      <c r="A14" s="18" t="s">
        <v>40</v>
      </c>
      <c r="B14" s="21">
        <v>1</v>
      </c>
      <c r="C14">
        <v>32866573.739999998</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007C19F-AE74-4F83-8C1E-90CABF494E13}">
  <ds:schemaRefs/>
</ds:datastoreItem>
</file>

<file path=customXml/itemProps2.xml><?xml version="1.0" encoding="utf-8"?>
<ds:datastoreItem xmlns:ds="http://schemas.openxmlformats.org/officeDocument/2006/customXml" ds:itemID="{7F74AEE3-7DB6-4C5E-8123-808BC4F54B5E}">
  <ds:schemaRefs/>
</ds:datastoreItem>
</file>

<file path=customXml/itemProps3.xml><?xml version="1.0" encoding="utf-8"?>
<ds:datastoreItem xmlns:ds="http://schemas.openxmlformats.org/officeDocument/2006/customXml" ds:itemID="{6B672E21-0075-4DF8-BCFD-240A6D42ADA5}">
  <ds:schemaRefs/>
</ds:datastoreItem>
</file>

<file path=customXml/itemProps4.xml><?xml version="1.0" encoding="utf-8"?>
<ds:datastoreItem xmlns:ds="http://schemas.openxmlformats.org/officeDocument/2006/customXml" ds:itemID="{24C4BC34-EB62-41FC-800A-BE5DB20E59F6}">
  <ds:schemaRefs/>
</ds:datastoreItem>
</file>

<file path=customXml/itemProps5.xml><?xml version="1.0" encoding="utf-8"?>
<ds:datastoreItem xmlns:ds="http://schemas.openxmlformats.org/officeDocument/2006/customXml" ds:itemID="{1343EFC0-8A01-496D-9668-50DE1E2667B1}">
  <ds:schemaRefs/>
</ds:datastoreItem>
</file>

<file path=customXml/itemProps6.xml><?xml version="1.0" encoding="utf-8"?>
<ds:datastoreItem xmlns:ds="http://schemas.openxmlformats.org/officeDocument/2006/customXml" ds:itemID="{D0B3EF6B-572A-404B-9008-86A8082B310A}">
  <ds:schemaRefs/>
</ds:datastoreItem>
</file>

<file path=customXml/itemProps7.xml><?xml version="1.0" encoding="utf-8"?>
<ds:datastoreItem xmlns:ds="http://schemas.openxmlformats.org/officeDocument/2006/customXml" ds:itemID="{AF15B296-F976-4AC0-BF0A-305208525ADF}">
  <ds:schemaRefs/>
</ds:datastoreItem>
</file>

<file path=customXml/itemProps8.xml><?xml version="1.0" encoding="utf-8"?>
<ds:datastoreItem xmlns:ds="http://schemas.openxmlformats.org/officeDocument/2006/customXml" ds:itemID="{6E287D49-7AD2-4F29-886D-73799401B9BA}">
  <ds:schemaRefs/>
</ds:datastoreItem>
</file>

<file path=customXml/itemProps9.xml><?xml version="1.0" encoding="utf-8"?>
<ds:datastoreItem xmlns:ds="http://schemas.openxmlformats.org/officeDocument/2006/customXml" ds:itemID="{0DA0A792-7ACB-4348-8AF0-2AC3DA4A09E2}">
  <ds:schemaRefs/>
</ds:datastoreItem>
</file>

<file path=customXml/itemProps10.xml><?xml version="1.0" encoding="utf-8"?>
<ds:datastoreItem xmlns:ds="http://schemas.openxmlformats.org/officeDocument/2006/customXml" ds:itemID="{DB6E3775-625B-4B1C-908C-797FA93A1533}">
  <ds:schemaRefs/>
</ds:datastoreItem>
</file>

<file path=customXml/itemProps11.xml><?xml version="1.0" encoding="utf-8"?>
<ds:datastoreItem xmlns:ds="http://schemas.openxmlformats.org/officeDocument/2006/customXml" ds:itemID="{16A231D7-E4CA-4B04-BBD0-BC91CBE705CB}">
  <ds:schemaRefs/>
</ds:datastoreItem>
</file>

<file path=customXml/itemProps12.xml><?xml version="1.0" encoding="utf-8"?>
<ds:datastoreItem xmlns:ds="http://schemas.openxmlformats.org/officeDocument/2006/customXml" ds:itemID="{F215AE31-B09A-4927-8B1E-6414538170DF}">
  <ds:schemaRefs/>
</ds:datastoreItem>
</file>

<file path=customXml/itemProps13.xml><?xml version="1.0" encoding="utf-8"?>
<ds:datastoreItem xmlns:ds="http://schemas.openxmlformats.org/officeDocument/2006/customXml" ds:itemID="{69523238-2BF3-4F5E-918C-8BBE9FCB63F9}">
  <ds:schemaRefs/>
</ds:datastoreItem>
</file>

<file path=customXml/itemProps14.xml><?xml version="1.0" encoding="utf-8"?>
<ds:datastoreItem xmlns:ds="http://schemas.openxmlformats.org/officeDocument/2006/customXml" ds:itemID="{092531DB-AE7E-49A2-849C-303DC2C272EF}">
  <ds:schemaRefs/>
</ds:datastoreItem>
</file>

<file path=customXml/itemProps15.xml><?xml version="1.0" encoding="utf-8"?>
<ds:datastoreItem xmlns:ds="http://schemas.openxmlformats.org/officeDocument/2006/customXml" ds:itemID="{9EB80521-E8DD-45C7-976D-114D6F221872}">
  <ds:schemaRefs/>
</ds:datastoreItem>
</file>

<file path=customXml/itemProps16.xml><?xml version="1.0" encoding="utf-8"?>
<ds:datastoreItem xmlns:ds="http://schemas.openxmlformats.org/officeDocument/2006/customXml" ds:itemID="{B0921031-FE92-427D-86E5-78FCE0EB90AC}">
  <ds:schemaRefs/>
</ds:datastoreItem>
</file>

<file path=customXml/itemProps17.xml><?xml version="1.0" encoding="utf-8"?>
<ds:datastoreItem xmlns:ds="http://schemas.openxmlformats.org/officeDocument/2006/customXml" ds:itemID="{A6D81F14-4BBC-4C3C-9958-16431C628C3A}">
  <ds:schemaRefs/>
</ds:datastoreItem>
</file>

<file path=customXml/itemProps18.xml><?xml version="1.0" encoding="utf-8"?>
<ds:datastoreItem xmlns:ds="http://schemas.openxmlformats.org/officeDocument/2006/customXml" ds:itemID="{AF94DD27-5674-401F-BD7D-91BFA95E3B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Dashboard</vt:lpstr>
      <vt:lpstr>KPIs</vt:lpstr>
      <vt:lpstr>Monthly revenue</vt:lpstr>
      <vt:lpstr>Rev_category</vt:lpstr>
      <vt:lpstr>Rev_region</vt:lpstr>
      <vt:lpstr>Payment Method Breakdown</vt:lpstr>
      <vt:lpstr>rev</vt:lpstr>
      <vt:lpstr>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Goodwill Ditsego</dc:creator>
  <cp:lastModifiedBy>Goodwill Ditsego</cp:lastModifiedBy>
  <dcterms:created xsi:type="dcterms:W3CDTF">2026-02-18T14:19:08Z</dcterms:created>
  <dcterms:modified xsi:type="dcterms:W3CDTF">2026-02-19T14:24:58Z</dcterms:modified>
</cp:coreProperties>
</file>